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091DF7931F401C/Tài liệu/"/>
    </mc:Choice>
  </mc:AlternateContent>
  <xr:revisionPtr revIDLastSave="115" documentId="8_{53A22646-884C-0346-A094-CFD5C66AE6D3}" xr6:coauthVersionLast="47" xr6:coauthVersionMax="47" xr10:uidLastSave="{7905577E-7F80-4118-B083-28D982FD6EE4}"/>
  <bookViews>
    <workbookView xWindow="-108" yWindow="-108" windowWidth="23256" windowHeight="12456" activeTab="1" xr2:uid="{17333842-B826-4C84-A302-A98995A8740B}"/>
  </bookViews>
  <sheets>
    <sheet name="Raw Data" sheetId="1" r:id="rId1"/>
    <sheet name="KPI Calculation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C4" i="2"/>
  <c r="C6" i="2" s="1"/>
  <c r="C5" i="2"/>
</calcChain>
</file>

<file path=xl/sharedStrings.xml><?xml version="1.0" encoding="utf-8"?>
<sst xmlns="http://schemas.openxmlformats.org/spreadsheetml/2006/main" count="119779" uniqueCount="7096">
  <si>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</si>
  <si>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</si>
  <si>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</si>
  <si>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</si>
  <si>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</si>
  <si>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</si>
  <si>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</si>
  <si>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</si>
  <si>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</si>
  <si>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</si>
  <si>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</si>
  <si>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</si>
  <si>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</si>
  <si>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</si>
  <si>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</si>
  <si>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</si>
  <si>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</si>
  <si>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</si>
  <si>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</si>
  <si>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</si>
  <si>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</si>
  <si>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</si>
  <si>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</si>
  <si>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</si>
  <si>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</si>
  <si>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</si>
  <si>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</si>
  <si>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</si>
  <si>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</si>
  <si>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</si>
  <si>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</si>
  <si>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</si>
  <si>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</si>
  <si>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</si>
  <si>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</si>
  <si>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</si>
  <si>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</si>
  <si>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</si>
  <si>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</si>
  <si>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</si>
  <si>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</si>
  <si>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</si>
  <si>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</si>
  <si>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</si>
  <si>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</si>
  <si>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</si>
  <si>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</si>
  <si>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</si>
  <si>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</si>
  <si>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</si>
  <si>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</si>
  <si>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</si>
  <si>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</si>
  <si>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</si>
  <si>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</si>
  <si>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</si>
  <si>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</si>
  <si>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</si>
  <si>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</si>
  <si>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</si>
  <si>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</si>
  <si>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</si>
  <si>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</si>
  <si>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</si>
  <si>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</si>
  <si>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</si>
  <si>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</si>
  <si>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</si>
  <si>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</si>
  <si>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</si>
  <si>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</si>
  <si>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</si>
  <si>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</si>
  <si>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</si>
  <si>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</si>
  <si>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</si>
  <si>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</si>
  <si>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</si>
  <si>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</si>
  <si>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</si>
  <si>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</si>
  <si>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</si>
  <si>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</si>
  <si>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</si>
  <si>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</si>
  <si>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</si>
  <si>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</si>
  <si>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</si>
  <si>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</si>
  <si>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</si>
  <si>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</si>
  <si>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</si>
  <si>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</si>
  <si>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</si>
  <si>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</si>
  <si>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</si>
  <si>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</si>
  <si>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</si>
  <si>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</si>
  <si>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</si>
  <si>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</si>
  <si>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</si>
  <si>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</si>
  <si>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</si>
  <si>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</si>
  <si>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</si>
  <si>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</si>
  <si>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</si>
  <si>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</si>
  <si>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</si>
  <si>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</si>
  <si>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</si>
  <si>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</si>
  <si>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</si>
  <si>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</si>
  <si>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</si>
  <si>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</si>
  <si>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</si>
  <si>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</si>
  <si>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</si>
  <si>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</si>
  <si>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</si>
  <si>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</si>
  <si>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</si>
  <si>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</si>
  <si>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</si>
  <si>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</si>
  <si>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</si>
  <si>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</si>
  <si>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</si>
  <si>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</si>
  <si>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</si>
  <si>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</si>
  <si>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</si>
  <si>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</si>
  <si>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</si>
  <si>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</si>
  <si>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</si>
  <si>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</si>
  <si>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</si>
  <si>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</si>
  <si>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</si>
  <si>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</si>
  <si>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</si>
  <si>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</si>
  <si>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</si>
  <si>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</si>
  <si>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</si>
  <si>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</si>
  <si>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</si>
  <si>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</si>
  <si>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</si>
  <si>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</si>
  <si>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</si>
  <si>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</si>
  <si>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</si>
  <si>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</si>
  <si>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</si>
  <si>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</si>
  <si>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</si>
  <si>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</si>
  <si>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</si>
  <si>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</si>
  <si>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</si>
  <si>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</si>
  <si>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</si>
  <si>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</si>
  <si>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</si>
  <si>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</si>
  <si>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</si>
  <si>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</si>
  <si>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</si>
  <si>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</si>
  <si>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</si>
  <si>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</si>
  <si>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</si>
  <si>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</si>
  <si>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</si>
  <si>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</si>
  <si>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</si>
  <si>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</si>
  <si>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</si>
  <si>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</si>
  <si>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</si>
  <si>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</si>
  <si>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</si>
  <si>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</si>
  <si>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</si>
  <si>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</si>
  <si>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</si>
  <si>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</si>
  <si>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</si>
  <si>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</si>
  <si>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</si>
  <si>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</si>
  <si>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</si>
  <si>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</si>
  <si>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</si>
  <si>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</si>
  <si>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</si>
  <si>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</si>
  <si>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</si>
  <si>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</si>
  <si>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</si>
  <si>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</si>
  <si>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</si>
  <si>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</si>
  <si>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</si>
  <si>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</si>
  <si>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</si>
  <si>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</si>
  <si>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</si>
  <si>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</si>
  <si>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</si>
  <si>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</si>
  <si>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</si>
  <si>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</si>
  <si>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</si>
  <si>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</si>
  <si>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</si>
  <si>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</si>
  <si>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</si>
  <si>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</si>
  <si>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</si>
  <si>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</si>
  <si>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</si>
  <si>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</si>
  <si>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</si>
  <si>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</si>
  <si>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</si>
  <si>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</si>
  <si>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</si>
  <si>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</si>
  <si>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</si>
  <si>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</si>
  <si>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</si>
  <si>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</si>
  <si>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</si>
  <si>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</si>
  <si>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</si>
  <si>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</si>
  <si>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</si>
  <si>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</si>
  <si>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</si>
  <si>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</si>
  <si>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</si>
  <si>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</si>
  <si>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</si>
  <si>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</si>
  <si>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</si>
  <si>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</si>
  <si>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</si>
  <si>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</si>
  <si>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</si>
  <si>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</si>
  <si>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</si>
  <si>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</si>
  <si>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</si>
  <si>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</si>
  <si>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</si>
  <si>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</si>
  <si>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</si>
  <si>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</si>
  <si>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</si>
  <si>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</si>
  <si>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</si>
  <si>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</si>
  <si>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</si>
  <si>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</si>
  <si>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</si>
  <si>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</si>
  <si>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</si>
  <si>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</si>
  <si>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</si>
  <si>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</si>
  <si>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</si>
  <si>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</si>
  <si>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</si>
  <si>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</si>
  <si>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</si>
  <si>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</si>
  <si>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</si>
  <si>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</si>
  <si>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</si>
  <si>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</si>
  <si>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</si>
  <si>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</si>
  <si>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</si>
  <si>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</si>
  <si>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</si>
  <si>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</si>
  <si>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</si>
  <si>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</si>
  <si>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</si>
  <si>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</si>
  <si>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</si>
  <si>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</si>
  <si>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</si>
  <si>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</si>
  <si>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</si>
  <si>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</si>
  <si>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</si>
  <si>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</si>
  <si>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</si>
  <si>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</si>
  <si>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</si>
  <si>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</si>
  <si>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</si>
  <si>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</si>
  <si>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</si>
  <si>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</si>
  <si>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</si>
  <si>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</si>
  <si>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</si>
  <si>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</si>
  <si>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</si>
  <si>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</si>
  <si>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</si>
  <si>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</si>
  <si>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</si>
  <si>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</si>
  <si>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</si>
  <si>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</si>
  <si>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</si>
  <si>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</si>
  <si>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</si>
  <si>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</si>
  <si>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</si>
  <si>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</si>
  <si>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</si>
  <si>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</si>
  <si>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</si>
  <si>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</si>
  <si>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</si>
  <si>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</si>
  <si>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</si>
  <si>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</si>
  <si>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</si>
  <si>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</si>
  <si>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</si>
  <si>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</si>
  <si>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</si>
  <si>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</si>
  <si>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</si>
  <si>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</si>
  <si>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</si>
  <si>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</si>
  <si>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</si>
  <si>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</si>
  <si>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</si>
  <si>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</si>
  <si>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</si>
  <si>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</si>
  <si>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</si>
  <si>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</si>
  <si>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</si>
  <si>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</si>
  <si>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</si>
  <si>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</si>
  <si>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</si>
  <si>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</si>
  <si>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</si>
  <si>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</si>
  <si>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</si>
  <si>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</si>
  <si>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</si>
  <si>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</si>
  <si>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</si>
  <si>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</si>
  <si>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</si>
  <si>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</si>
  <si>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</si>
  <si>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</si>
  <si>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</si>
  <si>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</si>
  <si>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</si>
  <si>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</si>
  <si>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</si>
  <si>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</si>
  <si>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</si>
  <si>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</si>
  <si>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</si>
  <si>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</si>
  <si>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</si>
  <si>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</si>
  <si>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</si>
  <si>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</si>
  <si>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</si>
  <si>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</si>
  <si>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</si>
  <si>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</si>
  <si>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</si>
  <si>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</si>
  <si>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</si>
  <si>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</si>
  <si>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</si>
  <si>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</si>
  <si>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</si>
  <si>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</si>
  <si>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</si>
  <si>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</si>
  <si>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</si>
  <si>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</si>
  <si>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</si>
  <si>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</si>
  <si>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</si>
  <si>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</si>
  <si>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</si>
  <si>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</si>
  <si>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</si>
  <si>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</si>
  <si>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</si>
  <si>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</si>
  <si>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</si>
  <si>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</si>
  <si>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</si>
  <si>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</si>
  <si>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</si>
  <si>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</si>
  <si>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</si>
  <si>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</si>
  <si>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</si>
  <si>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</si>
  <si>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</si>
  <si>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</si>
  <si>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</si>
  <si>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</si>
  <si>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</si>
  <si>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</si>
  <si>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</si>
  <si>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</si>
  <si>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</si>
  <si>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</si>
  <si>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</si>
  <si>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</si>
  <si>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</si>
  <si>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</si>
  <si>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</si>
  <si>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</si>
  <si>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</si>
  <si>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</si>
  <si>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</si>
  <si>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</si>
  <si>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</si>
  <si>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</si>
  <si>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</si>
  <si>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</si>
  <si>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</si>
  <si>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</si>
  <si>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</si>
  <si>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</si>
  <si>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</si>
  <si>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</si>
  <si>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</si>
  <si>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</si>
  <si>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</si>
  <si>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</si>
  <si>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</si>
  <si>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</si>
  <si>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</si>
  <si>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</si>
  <si>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</si>
  <si>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</si>
  <si>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</si>
  <si>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</si>
  <si>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</si>
  <si>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</si>
  <si>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</si>
  <si>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</si>
  <si>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</si>
  <si>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</si>
  <si>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</si>
  <si>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</si>
  <si>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</si>
  <si>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</si>
  <si>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</si>
  <si>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</si>
  <si>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</si>
  <si>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</si>
  <si>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</si>
  <si>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</si>
  <si>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</si>
  <si>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</si>
  <si>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</si>
  <si>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</si>
  <si>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</si>
  <si>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</si>
  <si>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</si>
  <si>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</si>
  <si>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</si>
  <si>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</si>
  <si>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</si>
  <si>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</si>
  <si>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</si>
  <si>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</si>
  <si>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</si>
  <si>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</si>
  <si>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</si>
  <si>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</si>
  <si>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</si>
  <si>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</si>
  <si>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</si>
  <si>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</si>
  <si>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</si>
  <si>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</si>
  <si>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</si>
  <si>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</si>
  <si>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</si>
  <si>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</si>
  <si>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</si>
  <si>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</si>
  <si>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</si>
  <si>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</si>
  <si>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</si>
  <si>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</si>
  <si>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</si>
  <si>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</si>
  <si>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</si>
  <si>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</si>
  <si>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</si>
  <si>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</si>
  <si>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</si>
  <si>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</si>
  <si>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</si>
  <si>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</si>
  <si>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</si>
  <si>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</si>
  <si>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</si>
  <si>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</si>
  <si>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</si>
  <si>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</si>
  <si>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</si>
  <si>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</si>
  <si>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</si>
  <si>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</si>
  <si>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</si>
  <si>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</si>
  <si>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</si>
  <si>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</si>
  <si>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</si>
  <si>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</si>
  <si>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</si>
  <si>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</si>
  <si>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</si>
  <si>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</si>
  <si>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</si>
  <si>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</si>
  <si>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</si>
  <si>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</si>
  <si>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</si>
  <si>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</si>
  <si>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</si>
  <si>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</si>
  <si>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</si>
  <si>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</si>
  <si>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</si>
  <si>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</si>
  <si>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</si>
  <si>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</si>
  <si>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</si>
  <si>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</si>
  <si>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</si>
  <si>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</si>
  <si>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</si>
  <si>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</si>
  <si>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</si>
  <si>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</si>
  <si>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</si>
  <si>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</si>
  <si>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</si>
  <si>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</si>
  <si>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</si>
  <si>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</si>
  <si>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</si>
  <si>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</si>
  <si>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</si>
  <si>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</si>
  <si>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</si>
  <si>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</si>
  <si>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</si>
  <si>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</si>
  <si>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</si>
  <si>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</si>
  <si>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</si>
  <si>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</si>
  <si>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</si>
  <si>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</si>
  <si>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</si>
  <si>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</si>
  <si>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</si>
  <si>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</si>
  <si>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</si>
  <si>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</si>
  <si>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</si>
  <si>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</si>
  <si>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</si>
  <si>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</si>
  <si>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</si>
  <si>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</si>
  <si>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</si>
  <si>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</si>
  <si>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</si>
  <si>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</si>
  <si>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</si>
  <si>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</si>
  <si>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</si>
  <si>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</si>
  <si>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</si>
  <si>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</si>
  <si>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</si>
  <si>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</si>
  <si>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</si>
  <si>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</si>
  <si>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</si>
  <si>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</si>
  <si>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</si>
  <si>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</si>
  <si>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</si>
  <si>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</si>
  <si>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</si>
  <si>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</si>
  <si>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</si>
  <si>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</si>
  <si>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</si>
  <si>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</si>
  <si>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</si>
  <si>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</si>
  <si>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</si>
  <si>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</si>
  <si>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</si>
  <si>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</si>
  <si>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</si>
  <si>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</si>
  <si>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</si>
  <si>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</si>
  <si>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</si>
  <si>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</si>
  <si>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</si>
  <si>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</si>
  <si>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</si>
  <si>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</si>
  <si>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</si>
  <si>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</si>
  <si>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</si>
  <si>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</si>
  <si>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</si>
  <si>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</si>
  <si>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</si>
  <si>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</si>
  <si>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</si>
  <si>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</si>
  <si>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</si>
  <si>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</si>
  <si>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</si>
  <si>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</si>
  <si>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</si>
  <si>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</si>
  <si>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</si>
  <si>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</si>
  <si>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</si>
  <si>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</si>
  <si>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</si>
  <si>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</si>
  <si>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</si>
  <si>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</si>
  <si>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</si>
  <si>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</si>
  <si>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</si>
  <si>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</si>
  <si>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</si>
  <si>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</si>
  <si>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</si>
  <si>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</si>
  <si>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</si>
  <si>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</si>
  <si>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</si>
  <si>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</si>
  <si>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</si>
  <si>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</si>
  <si>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</si>
  <si>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</si>
  <si>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</si>
  <si>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</si>
  <si>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</si>
  <si>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</si>
  <si>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</si>
  <si>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</si>
  <si>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</si>
  <si>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</si>
  <si>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</si>
  <si>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</si>
  <si>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</si>
  <si>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</si>
  <si>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</si>
  <si>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</si>
  <si>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</si>
  <si>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</si>
  <si>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</si>
  <si>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</si>
  <si>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</si>
  <si>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</si>
  <si>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</si>
  <si>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</si>
  <si>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</si>
  <si>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</si>
  <si>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</si>
  <si>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</si>
  <si>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</si>
  <si>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</si>
  <si>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</si>
  <si>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</si>
  <si>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</si>
  <si>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</si>
  <si>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</si>
  <si>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</si>
  <si>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</si>
  <si>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</si>
  <si>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</si>
  <si>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</si>
  <si>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</si>
  <si>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</si>
  <si>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</si>
  <si>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</si>
  <si>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</si>
  <si>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</si>
  <si>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</si>
  <si>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</si>
  <si>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</si>
  <si>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</si>
  <si>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</si>
  <si>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</si>
  <si>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</si>
  <si>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</si>
  <si>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</si>
  <si>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</si>
  <si>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</si>
  <si>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</si>
  <si>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</si>
  <si>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</si>
  <si>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</si>
  <si>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</si>
  <si>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</si>
  <si>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</si>
  <si>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</si>
  <si>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</si>
  <si>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</si>
  <si>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</si>
  <si>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</si>
  <si>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</si>
  <si>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</si>
  <si>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</si>
  <si>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</si>
  <si>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</si>
  <si>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</si>
  <si>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</si>
  <si>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</si>
  <si>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</si>
  <si>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</si>
  <si>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</si>
  <si>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</si>
  <si>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</si>
  <si>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</si>
  <si>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</si>
  <si>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</si>
  <si>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</si>
  <si>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</si>
  <si>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</si>
  <si>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</si>
  <si>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</si>
  <si>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</si>
  <si>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</si>
  <si>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</si>
  <si>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</si>
  <si>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</si>
  <si>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</si>
  <si>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</si>
  <si>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</si>
  <si>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</si>
  <si>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</si>
  <si>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</si>
  <si>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</si>
  <si>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</si>
  <si>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</si>
  <si>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</si>
  <si>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</si>
  <si>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</si>
  <si>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</si>
  <si>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</si>
  <si>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</si>
  <si>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</si>
  <si>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</si>
  <si>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</si>
  <si>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</si>
  <si>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</si>
  <si>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</si>
  <si>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</si>
  <si>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</si>
  <si>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</si>
  <si>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</si>
  <si>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</si>
  <si>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</si>
  <si>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</si>
  <si>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</si>
  <si>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</si>
  <si>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</si>
  <si>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</si>
  <si>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</si>
  <si>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</si>
  <si>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</si>
  <si>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</si>
  <si>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</si>
  <si>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</si>
  <si>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</si>
  <si>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</si>
  <si>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</si>
  <si>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</si>
  <si>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</si>
  <si>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</si>
  <si>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</si>
  <si>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</si>
  <si>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</si>
  <si>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</si>
  <si>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</si>
  <si>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</si>
  <si>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</si>
  <si>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</si>
  <si>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</si>
  <si>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</si>
  <si>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</si>
  <si>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</si>
  <si>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</si>
  <si>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</si>
  <si>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</si>
  <si>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</si>
  <si>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</si>
  <si>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</si>
  <si>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</si>
  <si>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</si>
  <si>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</si>
  <si>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</si>
  <si>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</si>
  <si>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</si>
  <si>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</si>
  <si>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</si>
  <si>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</si>
  <si>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</si>
  <si>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</si>
  <si>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</si>
  <si>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</si>
  <si>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</si>
  <si>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</si>
  <si>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</si>
  <si>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</si>
  <si>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</si>
  <si>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</si>
  <si>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</si>
  <si>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</si>
  <si>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</si>
  <si>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</si>
  <si>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</si>
  <si>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</si>
  <si>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</si>
  <si>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</si>
  <si>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</si>
  <si>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</si>
  <si>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</si>
  <si>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</si>
  <si>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</si>
  <si>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</si>
  <si>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</si>
  <si>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</si>
  <si>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</si>
  <si>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</si>
  <si>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</si>
  <si>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</si>
  <si>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</si>
  <si>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</si>
  <si>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</si>
  <si>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</si>
  <si>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</si>
  <si>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</si>
  <si>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</si>
  <si>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</si>
  <si>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</si>
  <si>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</si>
  <si>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</si>
  <si>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</si>
  <si>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</si>
  <si>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</si>
  <si>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</si>
  <si>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</si>
  <si>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</si>
  <si>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</si>
  <si>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</si>
  <si>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</si>
  <si>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</si>
  <si>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</si>
  <si>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</si>
  <si>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</si>
  <si>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</si>
  <si>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</si>
  <si>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</si>
  <si>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</si>
  <si>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</si>
  <si>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</si>
  <si>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</si>
  <si>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</si>
  <si>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</si>
  <si>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</si>
  <si>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</si>
  <si>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</si>
  <si>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</si>
  <si>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</si>
  <si>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</si>
  <si>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</si>
  <si>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</si>
  <si>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</si>
  <si>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</si>
  <si>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</si>
  <si>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</si>
  <si>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</si>
  <si>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</si>
  <si>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</si>
  <si>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</si>
  <si>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</si>
  <si>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</si>
  <si>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</si>
  <si>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</si>
  <si>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</si>
  <si>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</si>
  <si>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</si>
  <si>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</si>
  <si>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</si>
  <si>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</si>
  <si>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</si>
  <si>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</si>
  <si>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</si>
  <si>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</si>
  <si>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</si>
  <si>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</si>
  <si>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</si>
  <si>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</si>
  <si>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</si>
  <si>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</si>
  <si>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</si>
  <si>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</si>
  <si>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</si>
  <si>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</si>
  <si>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</si>
  <si>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</si>
  <si>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</si>
  <si>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</si>
  <si>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</si>
  <si>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</si>
  <si>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</si>
  <si>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</si>
  <si>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</si>
  <si>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</si>
  <si>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</si>
  <si>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</si>
  <si>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</si>
  <si>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</si>
  <si>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</si>
  <si>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</si>
  <si>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</si>
  <si>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</si>
  <si>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</si>
  <si>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</si>
  <si>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</si>
  <si>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</si>
  <si>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</si>
  <si>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</si>
  <si>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</si>
  <si>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</si>
  <si>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</si>
  <si>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</si>
  <si>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</si>
  <si>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</si>
  <si>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</si>
  <si>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</si>
  <si>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</si>
  <si>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</si>
  <si>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</si>
  <si>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</si>
  <si>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</si>
  <si>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</si>
  <si>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</si>
  <si>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</si>
  <si>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</si>
  <si>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</si>
  <si>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</si>
  <si>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</si>
  <si>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</si>
  <si>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</si>
  <si>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</si>
  <si>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</si>
  <si>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</si>
  <si>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</si>
  <si>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</si>
  <si>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</si>
  <si>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</si>
  <si>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</si>
  <si>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</si>
  <si>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</si>
  <si>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</si>
  <si>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</si>
  <si>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</si>
  <si>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</si>
  <si>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</si>
  <si>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</si>
  <si>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</si>
  <si>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</si>
  <si>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</si>
  <si>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</si>
  <si>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</si>
  <si>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</si>
  <si>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</si>
  <si>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</si>
  <si>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</si>
  <si>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</si>
  <si>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</si>
  <si>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</si>
  <si>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</si>
  <si>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</si>
  <si>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</si>
  <si>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</si>
  <si>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</si>
  <si>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</si>
  <si>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</si>
  <si>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</si>
  <si>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</si>
  <si>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</si>
  <si>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</si>
  <si>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</si>
  <si>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</si>
  <si>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</si>
  <si>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</si>
  <si>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</si>
  <si>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</si>
  <si>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</si>
  <si>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</si>
  <si>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</si>
  <si>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</si>
  <si>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</si>
  <si>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</si>
  <si>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</si>
  <si>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</si>
  <si>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</si>
  <si>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</si>
  <si>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</si>
  <si>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</si>
  <si>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</si>
  <si>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</si>
  <si>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</si>
  <si>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</si>
  <si>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</si>
  <si>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</si>
  <si>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</si>
  <si>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</si>
  <si>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</si>
  <si>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</si>
  <si>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</si>
  <si>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</si>
  <si>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</si>
  <si>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</si>
  <si>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</si>
  <si>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</si>
  <si>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</si>
  <si>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</si>
  <si>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</si>
  <si>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</si>
  <si>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</si>
  <si>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</si>
  <si>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</si>
  <si>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</si>
  <si>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</si>
  <si>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</si>
  <si>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</si>
  <si>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</si>
  <si>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</si>
  <si>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</si>
  <si>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</si>
  <si>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</si>
  <si>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</si>
  <si>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</si>
  <si>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</si>
  <si>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</si>
  <si>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</si>
  <si>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</si>
  <si>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</si>
  <si>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</si>
  <si>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</si>
  <si>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</si>
  <si>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</si>
  <si>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</si>
  <si>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</si>
  <si>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</si>
  <si>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</si>
  <si>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</si>
  <si>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</si>
  <si>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</si>
  <si>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</si>
  <si>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</si>
  <si>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</si>
  <si>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</si>
  <si>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</si>
  <si>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</si>
  <si>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</si>
  <si>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</si>
  <si>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</si>
  <si>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</si>
  <si>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</si>
  <si>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</si>
  <si>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</si>
  <si>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</si>
  <si>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</si>
  <si>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</si>
  <si>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</si>
  <si>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</si>
  <si>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</si>
  <si>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</si>
  <si>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</si>
  <si>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</si>
  <si>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</si>
  <si>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</si>
  <si>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</si>
  <si>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</si>
  <si>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</si>
  <si>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</si>
  <si>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</si>
  <si>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</si>
  <si>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</si>
  <si>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</si>
  <si>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</si>
  <si>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</si>
  <si>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</si>
  <si>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</si>
  <si>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</si>
  <si>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</si>
  <si>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</si>
  <si>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</si>
  <si>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</si>
  <si>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</si>
  <si>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</si>
  <si>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</si>
  <si>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</si>
  <si>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</si>
  <si>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</si>
  <si>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</si>
  <si>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</si>
  <si>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</si>
  <si>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</si>
  <si>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</si>
  <si>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</si>
  <si>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</si>
  <si>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</si>
  <si>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</si>
  <si>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</si>
  <si>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</si>
  <si>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</si>
  <si>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</si>
  <si>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</si>
  <si>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</si>
  <si>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</si>
  <si>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</si>
  <si>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</si>
  <si>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</si>
  <si>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</si>
  <si>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</si>
  <si>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</si>
  <si>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</si>
  <si>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</si>
  <si>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</si>
  <si>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</si>
  <si>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</si>
  <si>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</si>
  <si>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</si>
  <si>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</si>
  <si>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</si>
  <si>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</si>
  <si>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</si>
  <si>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</si>
  <si>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</si>
  <si>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</si>
  <si>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</si>
  <si>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</si>
  <si>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</si>
  <si>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</si>
  <si>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</si>
  <si>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</si>
  <si>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</si>
  <si>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</si>
  <si>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</si>
  <si>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</si>
  <si>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</si>
  <si>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</si>
  <si>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</si>
  <si>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</si>
  <si>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</si>
  <si>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</si>
  <si>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</si>
  <si>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</si>
  <si>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</si>
  <si>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</si>
  <si>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</si>
  <si>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</si>
  <si>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</si>
  <si>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</si>
  <si>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</si>
  <si>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</si>
  <si>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</si>
  <si>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</si>
  <si>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</si>
  <si>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</si>
  <si>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</si>
  <si>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</si>
  <si>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</si>
  <si>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</si>
  <si>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</si>
  <si>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</si>
  <si>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</si>
  <si>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</si>
  <si>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</si>
  <si>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</si>
  <si>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</si>
  <si>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</si>
  <si>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</si>
  <si>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</si>
  <si>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</si>
  <si>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</si>
  <si>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</si>
  <si>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</si>
  <si>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</si>
  <si>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</si>
  <si>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</si>
  <si>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</si>
  <si>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</si>
  <si>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</si>
  <si>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</si>
  <si>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</si>
  <si>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</si>
  <si>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</si>
  <si>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</si>
  <si>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</si>
  <si>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</si>
  <si>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</si>
  <si>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</si>
  <si>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</si>
  <si>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</si>
  <si>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</si>
  <si>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</si>
  <si>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</si>
  <si>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</si>
  <si>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</si>
  <si>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</si>
  <si>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</si>
  <si>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</si>
  <si>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</si>
  <si>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</si>
  <si>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</si>
  <si>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</si>
  <si>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</si>
  <si>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</si>
  <si>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</si>
  <si>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</si>
  <si>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</si>
  <si>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</si>
  <si>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</si>
  <si>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</si>
  <si>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</si>
  <si>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</si>
  <si>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</si>
  <si>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</si>
  <si>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</si>
  <si>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</si>
  <si>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</si>
  <si>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</si>
  <si>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</si>
  <si>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</si>
  <si>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</si>
  <si>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</si>
  <si>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</si>
  <si>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</si>
  <si>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</si>
  <si>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</si>
  <si>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</si>
  <si>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</si>
  <si>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</si>
  <si>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</si>
  <si>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</si>
  <si>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</si>
  <si>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</si>
  <si>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</si>
  <si>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</si>
  <si>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</si>
  <si>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</si>
  <si>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</si>
  <si>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</si>
  <si>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</si>
  <si>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</si>
  <si>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</si>
  <si>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</si>
  <si>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</si>
  <si>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</si>
  <si>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</si>
  <si>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</si>
  <si>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</si>
  <si>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</si>
  <si>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</si>
  <si>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</si>
  <si>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</si>
  <si>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</si>
  <si>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</si>
  <si>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</si>
  <si>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</si>
  <si>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</si>
  <si>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</si>
  <si>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</si>
  <si>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</si>
  <si>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</si>
  <si>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</si>
  <si>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</si>
  <si>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</si>
  <si>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</si>
  <si>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</si>
  <si>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</si>
  <si>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</si>
  <si>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</si>
  <si>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</si>
  <si>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</si>
  <si>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</si>
  <si>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</si>
  <si>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</si>
  <si>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</si>
  <si>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</si>
  <si>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</si>
  <si>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</si>
  <si>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</si>
  <si>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</si>
  <si>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</si>
  <si>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</si>
  <si>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</si>
  <si>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</si>
  <si>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</si>
  <si>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</si>
  <si>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</si>
  <si>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</si>
  <si>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</si>
  <si>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</si>
  <si>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</si>
  <si>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</si>
  <si>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</si>
  <si>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</si>
  <si>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</si>
  <si>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</si>
  <si>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</si>
  <si>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</si>
  <si>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</si>
  <si>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</si>
  <si>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</si>
  <si>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</si>
  <si>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</si>
  <si>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</si>
  <si>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</si>
  <si>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</si>
  <si>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</si>
  <si>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</si>
  <si>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</si>
  <si>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</si>
  <si>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</si>
  <si>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</si>
  <si>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</si>
  <si>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</si>
  <si>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</si>
  <si>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</si>
  <si>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</si>
  <si>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</si>
  <si>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</si>
  <si>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</si>
  <si>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</si>
  <si>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</si>
  <si>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</si>
  <si>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</si>
  <si>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</si>
  <si>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</si>
  <si>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</si>
  <si>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</si>
  <si>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</si>
  <si>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</si>
  <si>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</si>
  <si>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</si>
  <si>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</si>
  <si>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</si>
  <si>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</si>
  <si>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</si>
  <si>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</si>
  <si>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</si>
  <si>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</si>
  <si>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</si>
  <si>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</si>
  <si>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</si>
  <si>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</si>
  <si>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</si>
  <si>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</si>
  <si>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</si>
  <si>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</si>
  <si>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</si>
  <si>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</si>
  <si>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</si>
  <si>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</si>
  <si>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</si>
  <si>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</si>
  <si>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</si>
  <si>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</si>
  <si>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</si>
  <si>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</si>
  <si>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</si>
  <si>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</si>
  <si>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</si>
  <si>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</si>
  <si>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</si>
  <si>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</si>
  <si>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</si>
  <si>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</si>
  <si>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</si>
  <si>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</si>
  <si>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</si>
  <si>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</si>
  <si>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</si>
  <si>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</si>
  <si>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</si>
  <si>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</si>
  <si>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</si>
  <si>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</si>
  <si>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</si>
  <si>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</si>
  <si>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</si>
  <si>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</si>
  <si>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</si>
  <si>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</si>
  <si>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</si>
  <si>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</si>
  <si>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</si>
  <si>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</si>
  <si>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</si>
  <si>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</si>
  <si>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</si>
  <si>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</si>
  <si>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</si>
  <si>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</si>
  <si>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</si>
  <si>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</si>
  <si>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</si>
  <si>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</si>
  <si>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</si>
  <si>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</si>
  <si>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</si>
  <si>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</si>
  <si>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</si>
  <si>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</si>
  <si>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</si>
  <si>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</si>
  <si>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</si>
  <si>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</si>
  <si>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</si>
  <si>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</si>
  <si>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</si>
  <si>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</si>
  <si>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</si>
  <si>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</si>
  <si>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</si>
  <si>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</si>
  <si>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</si>
  <si>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</si>
  <si>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</si>
  <si>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</si>
  <si>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</si>
  <si>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</si>
  <si>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</si>
  <si>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</si>
  <si>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</si>
  <si>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</si>
  <si>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</si>
  <si>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</si>
  <si>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</si>
  <si>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</si>
  <si>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</si>
  <si>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</si>
  <si>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</si>
  <si>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</si>
  <si>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</si>
  <si>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</si>
  <si>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</si>
  <si>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</si>
  <si>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</si>
  <si>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</si>
  <si>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</si>
  <si>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</si>
  <si>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</si>
  <si>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</si>
  <si>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</si>
  <si>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</si>
  <si>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</si>
  <si>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</si>
  <si>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</si>
  <si>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</si>
  <si>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</si>
  <si>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</si>
  <si>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</si>
  <si>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</si>
  <si>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</si>
  <si>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</si>
  <si>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</si>
  <si>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</si>
  <si>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</si>
  <si>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</si>
  <si>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</si>
  <si>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</si>
  <si>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</si>
  <si>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</si>
  <si>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</si>
  <si>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</si>
  <si>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</si>
  <si>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</si>
  <si>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</si>
  <si>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</si>
  <si>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</si>
  <si>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</si>
  <si>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</si>
  <si>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</si>
  <si>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</si>
  <si>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</si>
  <si>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</si>
  <si>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</si>
  <si>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</si>
  <si>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</si>
  <si>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</si>
  <si>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</si>
  <si>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</si>
  <si>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</si>
  <si>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</si>
  <si>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</si>
  <si>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</si>
  <si>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</si>
  <si>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</si>
  <si>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</si>
  <si>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</si>
  <si>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</si>
  <si>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</si>
  <si>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</si>
  <si>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</si>
  <si>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</si>
  <si>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</si>
  <si>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</si>
  <si>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</si>
  <si>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</si>
  <si>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</si>
  <si>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</si>
  <si>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</si>
  <si>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</si>
  <si>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</si>
  <si>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</si>
  <si>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</si>
  <si>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</si>
  <si>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</si>
  <si>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</si>
  <si>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</si>
  <si>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</si>
  <si>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</si>
  <si>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</si>
  <si>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</si>
  <si>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</si>
  <si>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</si>
  <si>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</si>
  <si>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</si>
  <si>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</si>
  <si>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</si>
  <si>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</si>
  <si>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</si>
  <si>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</si>
  <si>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</si>
  <si>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</si>
  <si>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</si>
  <si>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</si>
  <si>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</si>
  <si>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</si>
  <si>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</si>
  <si>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</si>
  <si>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</si>
  <si>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</si>
  <si>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</si>
  <si>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</si>
  <si>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</si>
  <si>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</si>
  <si>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</si>
  <si>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</si>
  <si>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</si>
  <si>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</si>
  <si>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</si>
  <si>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</si>
  <si>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</si>
  <si>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</si>
  <si>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</si>
  <si>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</si>
  <si>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</si>
  <si>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</si>
  <si>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</si>
  <si>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</si>
  <si>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</si>
  <si>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</si>
  <si>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</si>
  <si>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</si>
  <si>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</si>
  <si>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</si>
  <si>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</si>
  <si>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</si>
  <si>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</si>
  <si>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</si>
  <si>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</si>
  <si>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</si>
  <si>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</si>
  <si>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</si>
  <si>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</si>
  <si>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</si>
  <si>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</si>
  <si>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</si>
  <si>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</si>
  <si>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</si>
  <si>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</si>
  <si>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</si>
  <si>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</si>
  <si>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</si>
  <si>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</si>
  <si>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</si>
  <si>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</si>
  <si>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</si>
  <si>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</si>
  <si>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</si>
  <si>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</si>
  <si>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</si>
  <si>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</si>
  <si>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</si>
  <si>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</si>
  <si>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</si>
  <si>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</si>
  <si>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</si>
  <si>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</si>
  <si>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</si>
  <si>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</si>
  <si>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</si>
  <si>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</si>
  <si>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</si>
  <si>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</si>
  <si>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</si>
  <si>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</si>
  <si>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</si>
  <si>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</si>
  <si>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</si>
  <si>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</si>
  <si>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</si>
  <si>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</si>
  <si>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</si>
  <si>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</si>
  <si>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</si>
  <si>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</si>
  <si>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</si>
  <si>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</si>
  <si>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</si>
  <si>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</si>
  <si>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</si>
  <si>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</si>
  <si>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</si>
  <si>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</si>
  <si>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</si>
  <si>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</si>
  <si>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</si>
  <si>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</si>
  <si>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</si>
  <si>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</si>
  <si>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</si>
  <si>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</si>
  <si>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</si>
  <si>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</si>
  <si>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</si>
  <si>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</si>
  <si>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</si>
  <si>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</si>
  <si>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</si>
  <si>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</si>
  <si>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</si>
  <si>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</si>
  <si>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</si>
  <si>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</si>
  <si>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</si>
  <si>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</si>
  <si>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</si>
  <si>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</si>
  <si>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</si>
  <si>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</si>
  <si>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</si>
  <si>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</si>
  <si>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</si>
  <si>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</si>
  <si>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</si>
  <si>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</si>
  <si>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</si>
  <si>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</si>
  <si>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</si>
  <si>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</si>
  <si>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</si>
  <si>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</si>
  <si>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</si>
  <si>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</si>
  <si>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</si>
  <si>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</si>
  <si>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</si>
  <si>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</si>
  <si>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</si>
  <si>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</si>
  <si>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</si>
  <si>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</si>
  <si>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</si>
  <si>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</si>
  <si>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</si>
  <si>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</si>
  <si>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</si>
  <si>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</si>
  <si>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</si>
  <si>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</si>
  <si>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</si>
  <si>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</si>
  <si>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</si>
  <si>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</si>
  <si>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</si>
  <si>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</si>
  <si>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</si>
  <si>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</si>
  <si>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</si>
  <si>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</si>
  <si>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</si>
  <si>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</si>
  <si>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</si>
  <si>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</si>
  <si>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</si>
  <si>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</si>
  <si>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</si>
  <si>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</si>
  <si>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</si>
  <si>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</si>
  <si>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</si>
  <si>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</si>
  <si>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</si>
  <si>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</si>
  <si>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</si>
  <si>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</si>
  <si>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</si>
  <si>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</si>
  <si>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</si>
  <si>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</si>
  <si>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</si>
  <si>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</si>
  <si>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</si>
  <si>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</si>
  <si>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</si>
  <si>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</si>
  <si>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</si>
  <si>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</si>
  <si>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</si>
  <si>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</si>
  <si>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</si>
  <si>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</si>
  <si>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</si>
  <si>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</si>
  <si>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</si>
  <si>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</si>
  <si>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</si>
  <si>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</si>
  <si>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</si>
  <si>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</si>
  <si>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</si>
  <si>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</si>
  <si>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</si>
  <si>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</si>
  <si>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</si>
  <si>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</si>
  <si>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</si>
  <si>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</si>
  <si>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</si>
  <si>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</si>
  <si>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</si>
  <si>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</si>
  <si>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</si>
  <si>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</si>
  <si>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</si>
  <si>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</si>
  <si>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</si>
  <si>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</si>
  <si>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</si>
  <si>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</si>
  <si>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</si>
  <si>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</si>
  <si>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</si>
  <si>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</si>
  <si>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</si>
  <si>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</si>
  <si>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</si>
  <si>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</si>
  <si>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</si>
  <si>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</si>
  <si>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</si>
  <si>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</si>
  <si>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</si>
  <si>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</si>
  <si>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</si>
  <si>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</si>
  <si>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</si>
  <si>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</si>
  <si>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</si>
  <si>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</si>
  <si>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</si>
  <si>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</si>
  <si>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</si>
  <si>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</si>
  <si>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</si>
  <si>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</si>
  <si>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</si>
  <si>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</si>
  <si>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</si>
  <si>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</si>
  <si>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</si>
  <si>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</si>
  <si>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</si>
  <si>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</si>
  <si>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</si>
  <si>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</si>
  <si>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</si>
  <si>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</si>
  <si>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</si>
  <si>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</si>
  <si>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</si>
  <si>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</si>
  <si>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</si>
  <si>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</si>
  <si>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</si>
  <si>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</si>
  <si>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</si>
  <si>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</si>
  <si>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</si>
  <si>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</si>
  <si>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</si>
  <si>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</si>
  <si>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</si>
  <si>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</si>
  <si>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</si>
  <si>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</si>
  <si>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</si>
  <si>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</si>
  <si>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</si>
  <si>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</si>
  <si>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</si>
  <si>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</si>
  <si>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</si>
  <si>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</si>
  <si>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</si>
  <si>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</si>
  <si>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</si>
  <si>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</si>
  <si>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</si>
  <si>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</si>
  <si>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</si>
  <si>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</si>
  <si>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</si>
  <si>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</si>
  <si>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</si>
  <si>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</si>
  <si>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</si>
  <si>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</si>
  <si>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</si>
  <si>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</si>
  <si>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</si>
  <si>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</si>
  <si>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</si>
  <si>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</si>
  <si>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</si>
  <si>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</si>
  <si>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</si>
  <si>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</si>
  <si>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</si>
  <si>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</si>
  <si>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</si>
  <si>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</si>
  <si>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</si>
  <si>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</si>
  <si>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</si>
  <si>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</si>
  <si>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</si>
  <si>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</si>
  <si>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</si>
  <si>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</si>
  <si>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</si>
  <si>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</si>
  <si>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</si>
  <si>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</si>
  <si>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</si>
  <si>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</si>
  <si>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</si>
  <si>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</si>
  <si>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</si>
  <si>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</si>
  <si>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</si>
  <si>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</si>
  <si>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</si>
  <si>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</si>
  <si>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</si>
  <si>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</si>
  <si>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</si>
  <si>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</si>
  <si>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</si>
  <si>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</si>
  <si>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</si>
  <si>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</si>
  <si>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</si>
  <si>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</si>
  <si>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</si>
  <si>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</si>
  <si>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</si>
  <si>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</si>
  <si>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</si>
  <si>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</si>
  <si>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</si>
  <si>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</si>
  <si>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</si>
  <si>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</si>
  <si>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</si>
  <si>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</si>
  <si>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</si>
  <si>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</si>
  <si>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</si>
  <si>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</si>
  <si>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</si>
  <si>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</si>
  <si>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</si>
  <si>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</si>
  <si>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</si>
  <si>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</si>
  <si>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</si>
  <si>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</si>
  <si>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</si>
  <si>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</si>
  <si>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</si>
  <si>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</si>
  <si>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</si>
  <si>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</si>
  <si>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</si>
  <si>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</si>
  <si>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</si>
  <si>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</si>
  <si>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</si>
  <si>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</si>
  <si>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</si>
  <si>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</si>
  <si>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</si>
  <si>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</si>
  <si>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</si>
  <si>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</si>
  <si>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</si>
  <si>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</si>
  <si>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</si>
  <si>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</si>
  <si>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</si>
  <si>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</si>
  <si>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</si>
  <si>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</si>
  <si>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</si>
  <si>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</si>
  <si>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</si>
  <si>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</si>
  <si>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</si>
  <si>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</si>
  <si>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</si>
  <si>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</si>
  <si>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</si>
  <si>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</si>
  <si>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</si>
  <si>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</si>
  <si>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</si>
  <si>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</si>
  <si>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</si>
  <si>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</si>
  <si>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</si>
  <si>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</si>
  <si>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</si>
  <si>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</si>
  <si>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</si>
  <si>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</si>
  <si>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</si>
  <si>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</si>
  <si>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</si>
  <si>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</si>
  <si>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</si>
  <si>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</si>
  <si>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</si>
  <si>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</si>
  <si>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</si>
  <si>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</si>
  <si>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</si>
  <si>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</si>
  <si>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</si>
  <si>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</si>
  <si>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</si>
  <si>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</si>
  <si>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</si>
  <si>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</si>
  <si>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</si>
  <si>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</si>
  <si>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</si>
  <si>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</si>
  <si>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</si>
  <si>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</si>
  <si>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</si>
  <si>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</si>
  <si>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</si>
  <si>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</si>
  <si>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</si>
  <si>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</si>
  <si>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</si>
  <si>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</si>
  <si>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</si>
  <si>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</si>
  <si>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</si>
  <si>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</si>
  <si>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</si>
  <si>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</si>
  <si>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</si>
  <si>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</si>
  <si>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</si>
  <si>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</si>
  <si>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</si>
  <si>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</si>
  <si>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</si>
  <si>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</si>
  <si>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</si>
  <si>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</si>
  <si>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</si>
  <si>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</si>
  <si>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</si>
  <si>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</si>
  <si>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</si>
  <si>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</si>
  <si>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</si>
  <si>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</si>
  <si>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</si>
  <si>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</si>
  <si>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</si>
  <si>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</si>
  <si>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</si>
  <si>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</si>
  <si>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</si>
  <si>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</si>
  <si>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</si>
  <si>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</si>
  <si>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</si>
  <si>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</si>
  <si>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</si>
  <si>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</si>
  <si>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</si>
  <si>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</si>
  <si>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</si>
  <si>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</si>
  <si>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</si>
  <si>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</si>
  <si>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</si>
  <si>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</si>
  <si>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</si>
  <si>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</si>
  <si>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</si>
  <si>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</si>
  <si>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</si>
  <si>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</si>
  <si>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</si>
  <si>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</si>
  <si>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</si>
  <si>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</si>
  <si>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</si>
  <si>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</si>
  <si>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</si>
  <si>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</si>
  <si>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</si>
  <si>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</si>
  <si>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</si>
  <si>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</si>
  <si>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</si>
  <si>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</si>
  <si>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</si>
  <si>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</si>
  <si>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</si>
  <si>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</si>
  <si>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</si>
  <si>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</si>
  <si>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</si>
  <si>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</si>
  <si>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</si>
  <si>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</si>
  <si>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</si>
  <si>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</si>
  <si>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</si>
  <si>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</si>
  <si>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</si>
  <si>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</si>
  <si>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</si>
  <si>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</si>
  <si>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</si>
  <si>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</si>
  <si>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</si>
  <si>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</si>
  <si>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</si>
  <si>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</si>
  <si>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</si>
  <si>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</si>
  <si>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</si>
  <si>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</si>
  <si>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</si>
  <si>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</si>
  <si>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</si>
  <si>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</si>
  <si>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</si>
  <si>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</si>
  <si>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</si>
  <si>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</si>
  <si>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</si>
  <si>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</si>
  <si>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</si>
  <si>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</si>
  <si>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</si>
  <si>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</si>
  <si>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</si>
  <si>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</si>
  <si>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</si>
  <si>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</si>
  <si>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</si>
  <si>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</si>
  <si>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</si>
  <si>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</si>
  <si>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</si>
  <si>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</si>
  <si>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</si>
  <si>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</si>
  <si>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</si>
  <si>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</si>
  <si>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</si>
  <si>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</si>
  <si>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</si>
  <si>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</si>
  <si>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</si>
  <si>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</si>
  <si>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</si>
  <si>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</si>
  <si>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</si>
  <si>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</si>
  <si>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</si>
  <si>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</si>
  <si>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</si>
  <si>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</si>
  <si>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</si>
  <si>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</si>
  <si>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</si>
  <si>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</si>
  <si>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</si>
  <si>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</si>
  <si>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</si>
  <si>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</si>
  <si>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</si>
  <si>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</si>
  <si>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</si>
  <si>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</si>
  <si>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</si>
  <si>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</si>
  <si>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</si>
  <si>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</si>
  <si>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</si>
  <si>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</si>
  <si>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</si>
  <si>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</si>
  <si>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</si>
  <si>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</si>
  <si>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</si>
  <si>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</si>
  <si>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</si>
  <si>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</si>
  <si>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</si>
  <si>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</si>
  <si>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</si>
  <si>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</si>
  <si>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</si>
  <si>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</si>
  <si>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</si>
  <si>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</si>
  <si>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</si>
  <si>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</si>
  <si>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</si>
  <si>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</si>
  <si>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</si>
  <si>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</si>
  <si>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</si>
  <si>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</si>
  <si>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</si>
  <si>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</si>
  <si>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</si>
  <si>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</si>
  <si>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</si>
  <si>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</si>
  <si>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</si>
  <si>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</si>
  <si>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</si>
  <si>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</si>
  <si>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</si>
  <si>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</si>
  <si>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</si>
  <si>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</si>
  <si>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</si>
  <si>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</si>
  <si>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</si>
  <si>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</si>
  <si>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</si>
  <si>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</si>
  <si>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</si>
  <si>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</si>
  <si>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</si>
  <si>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</si>
  <si>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</si>
  <si>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</si>
  <si>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</si>
  <si>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</si>
  <si>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</si>
  <si>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</si>
  <si>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</si>
  <si>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</si>
  <si>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</si>
  <si>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</si>
  <si>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</si>
  <si>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</si>
  <si>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</si>
  <si>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</si>
  <si>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</si>
  <si>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</si>
  <si>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</si>
  <si>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</si>
  <si>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</si>
  <si>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</si>
  <si>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</si>
  <si>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</si>
  <si>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</si>
  <si>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</si>
  <si>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</si>
  <si>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</si>
  <si>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</si>
  <si>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</si>
  <si>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</si>
  <si>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</si>
  <si>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</si>
  <si>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</si>
  <si>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</si>
  <si>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</si>
  <si>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</si>
  <si>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</si>
  <si>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</si>
  <si>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</si>
  <si>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</si>
  <si>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</si>
  <si>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</si>
  <si>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</si>
  <si>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</si>
  <si>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</si>
  <si>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</si>
  <si>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</si>
  <si>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</si>
  <si>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</si>
  <si>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</si>
  <si>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</si>
  <si>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</si>
  <si>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</si>
  <si>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</si>
  <si>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</si>
  <si>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</si>
  <si>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</si>
  <si>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</si>
  <si>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</si>
  <si>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</si>
  <si>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</si>
  <si>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</si>
  <si>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</si>
  <si>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</si>
  <si>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</si>
  <si>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</si>
  <si>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</si>
  <si>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</si>
  <si>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</si>
  <si>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</si>
  <si>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</si>
  <si>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</si>
  <si>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</si>
  <si>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</si>
  <si>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</si>
  <si>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</si>
  <si>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</si>
  <si>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</si>
  <si>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</si>
  <si>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</si>
  <si>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</si>
  <si>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</si>
  <si>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</si>
  <si>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</si>
  <si>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</si>
  <si>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</si>
  <si>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</si>
  <si>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</si>
  <si>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</si>
  <si>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</si>
  <si>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</si>
  <si>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</si>
  <si>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</si>
  <si>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</si>
  <si>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</si>
  <si>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</si>
  <si>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</si>
  <si>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</si>
  <si>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</si>
  <si>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</si>
  <si>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</si>
  <si>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</si>
  <si>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</si>
  <si>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</si>
  <si>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</si>
  <si>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</si>
  <si>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</si>
  <si>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</si>
  <si>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</si>
  <si>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</si>
  <si>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</si>
  <si>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</si>
  <si>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</si>
  <si>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</si>
  <si>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</si>
  <si>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</si>
  <si>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</si>
  <si>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</si>
  <si>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</si>
  <si>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</si>
  <si>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</si>
  <si>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</si>
  <si>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</si>
  <si>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</si>
  <si>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</si>
  <si>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</si>
  <si>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</si>
  <si>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</si>
  <si>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</si>
  <si>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</si>
  <si>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</si>
  <si>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</si>
  <si>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</si>
  <si>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</si>
  <si>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</si>
  <si>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</si>
  <si>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</si>
  <si>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</si>
  <si>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</si>
  <si>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</si>
  <si>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</si>
  <si>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</si>
  <si>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</si>
  <si>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</si>
  <si>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</si>
  <si>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</si>
  <si>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</si>
  <si>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</si>
  <si>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</si>
  <si>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</si>
  <si>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</si>
  <si>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</si>
  <si>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</si>
  <si>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</si>
  <si>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</si>
  <si>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</si>
  <si>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</si>
  <si>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</si>
  <si>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</si>
  <si>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</si>
  <si>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</si>
  <si>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</si>
  <si>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</si>
  <si>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</si>
  <si>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</si>
  <si>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</si>
  <si>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</si>
  <si>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</si>
  <si>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</si>
  <si>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</si>
  <si>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</si>
  <si>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</si>
  <si>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</si>
  <si>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</si>
  <si>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</si>
  <si>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</si>
  <si>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</si>
  <si>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</si>
  <si>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</si>
  <si>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</si>
  <si>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</si>
  <si>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</si>
  <si>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</si>
  <si>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</si>
  <si>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</si>
  <si>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</si>
  <si>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</si>
  <si>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</si>
  <si>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</si>
  <si>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</si>
  <si>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</si>
  <si>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</si>
  <si>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</si>
  <si>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</si>
  <si>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</si>
  <si>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</si>
  <si>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</si>
  <si>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</si>
  <si>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</si>
  <si>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</si>
  <si>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</si>
  <si>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</si>
  <si>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</si>
  <si>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</si>
  <si>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</si>
  <si>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</si>
  <si>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</si>
  <si>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</si>
  <si>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</si>
  <si>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</si>
  <si>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</si>
  <si>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</si>
  <si>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</si>
  <si>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</si>
  <si>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</si>
  <si>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</si>
  <si>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</si>
  <si>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</si>
  <si>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</si>
  <si>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</si>
  <si>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</si>
  <si>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</si>
  <si>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</si>
  <si>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</si>
  <si>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</si>
  <si>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</si>
  <si>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</si>
  <si>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</si>
  <si>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</si>
  <si>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</si>
  <si>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</si>
  <si>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</si>
  <si>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</si>
  <si>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</si>
  <si>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</si>
  <si>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</si>
  <si>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</si>
  <si>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</si>
  <si>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</si>
  <si>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</si>
  <si>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</si>
  <si>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</si>
  <si>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</si>
  <si>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</si>
  <si>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</si>
  <si>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</si>
  <si>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</si>
  <si>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</si>
  <si>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</si>
  <si>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</si>
  <si>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</si>
  <si>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</si>
  <si>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</si>
  <si>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</si>
  <si>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</si>
  <si>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</si>
  <si>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</si>
  <si>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</si>
  <si>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</si>
  <si>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</si>
  <si>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</si>
  <si>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</si>
  <si>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</si>
  <si>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</si>
  <si>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</si>
  <si>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</si>
  <si>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</si>
  <si>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</si>
  <si>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</si>
  <si>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</si>
  <si>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</si>
  <si>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</si>
  <si>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</si>
  <si>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</si>
  <si>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</si>
  <si>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</si>
  <si>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</si>
  <si>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</si>
  <si>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</si>
  <si>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</si>
  <si>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</si>
  <si>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</si>
  <si>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</si>
  <si>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</si>
  <si>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</si>
  <si>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</si>
  <si>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</si>
  <si>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</si>
  <si>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</si>
  <si>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</si>
  <si>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</si>
  <si>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</si>
  <si>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</si>
  <si>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</si>
  <si>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</si>
  <si>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</si>
  <si>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</si>
  <si>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</si>
  <si>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</si>
  <si>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</si>
  <si>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</si>
  <si>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</si>
  <si>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</si>
  <si>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</si>
  <si>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</si>
  <si>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</si>
  <si>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</si>
  <si>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</si>
  <si>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</si>
  <si>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</si>
  <si>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</si>
  <si>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</si>
  <si>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</si>
  <si>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</si>
  <si>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</si>
  <si>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</si>
  <si>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</si>
  <si>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</si>
  <si>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</si>
  <si>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</si>
  <si>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</si>
  <si>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</si>
  <si>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</si>
  <si>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</si>
  <si>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</si>
  <si>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</si>
  <si>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</si>
  <si>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</si>
  <si>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</si>
  <si>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</si>
  <si>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</si>
  <si>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</si>
  <si>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</si>
  <si>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</si>
  <si>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</si>
  <si>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</si>
  <si>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</si>
  <si>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</si>
  <si>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</si>
  <si>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</si>
  <si>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</si>
  <si>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</si>
  <si>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</si>
  <si>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</si>
  <si>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</si>
  <si>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</si>
  <si>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</si>
  <si>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</si>
  <si>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</si>
  <si>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</si>
  <si>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</si>
  <si>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</si>
  <si>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</si>
  <si>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</si>
  <si>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</si>
  <si>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</si>
  <si>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</si>
  <si>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</si>
  <si>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</si>
  <si>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</si>
  <si>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</si>
  <si>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</si>
  <si>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</si>
  <si>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</si>
  <si>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</si>
  <si>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</si>
  <si>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</si>
  <si>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</si>
  <si>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</si>
  <si>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</si>
  <si>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</si>
  <si>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</si>
  <si>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</si>
  <si>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</si>
  <si>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</si>
  <si>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</si>
  <si>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</si>
  <si>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</si>
  <si>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</si>
  <si>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</si>
  <si>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</si>
  <si>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</si>
  <si>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</si>
  <si>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</si>
  <si>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</si>
  <si>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</si>
  <si>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</si>
  <si>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</si>
  <si>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</si>
  <si>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</si>
  <si>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</si>
  <si>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</si>
  <si>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</si>
  <si>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</si>
  <si>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</si>
  <si>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</si>
  <si>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</si>
  <si>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</si>
  <si>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</si>
  <si>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</si>
  <si>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</si>
  <si>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</si>
  <si>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</si>
  <si>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</si>
  <si>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</si>
  <si>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</si>
  <si>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</si>
  <si>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</si>
  <si>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</si>
  <si>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</si>
  <si>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</si>
  <si>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</si>
  <si>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</si>
  <si>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</si>
  <si>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</si>
  <si>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</si>
  <si>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</si>
  <si>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</si>
  <si>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</si>
  <si>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</si>
  <si>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</si>
  <si>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</si>
  <si>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</si>
  <si>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</si>
  <si>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</si>
  <si>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</si>
  <si>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</si>
  <si>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</si>
  <si>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</si>
  <si>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</si>
  <si>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</si>
  <si>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</si>
  <si>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</si>
  <si>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</si>
  <si>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</si>
  <si>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</si>
  <si>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</si>
  <si>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</si>
  <si>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</si>
  <si>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</si>
  <si>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</si>
  <si>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</si>
  <si>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</si>
  <si>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</si>
  <si>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</si>
  <si>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</si>
  <si>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</si>
  <si>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</si>
  <si>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</si>
  <si>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</si>
  <si>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</si>
  <si>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</si>
  <si>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</si>
  <si>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</si>
  <si>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</si>
  <si>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</si>
  <si>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</si>
  <si>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</si>
  <si>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</si>
  <si>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</si>
  <si>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</si>
  <si>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</si>
  <si>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</si>
  <si>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</si>
  <si>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</si>
  <si>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</si>
  <si>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</si>
  <si>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</si>
  <si>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</si>
  <si>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</si>
  <si>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</si>
  <si>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</si>
  <si>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</si>
  <si>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</si>
  <si>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</si>
  <si>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</si>
  <si>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</si>
  <si>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</si>
  <si>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</si>
  <si>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</si>
  <si>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</si>
  <si>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</si>
  <si>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</si>
  <si>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</si>
  <si>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</si>
  <si>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</si>
  <si>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</si>
  <si>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</si>
  <si>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</si>
  <si>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</si>
  <si>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</si>
  <si>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</si>
  <si>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</si>
  <si>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</si>
  <si>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</si>
  <si>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</si>
  <si>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</si>
  <si>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</si>
  <si>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</si>
  <si>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</si>
  <si>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</si>
  <si>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</si>
  <si>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</si>
  <si>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</si>
  <si>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</si>
  <si>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</si>
  <si>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</si>
  <si>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</si>
  <si>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</si>
  <si>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</si>
  <si>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</si>
  <si>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</si>
  <si>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</si>
  <si>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</si>
  <si>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</si>
  <si>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</si>
  <si>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</si>
  <si>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</si>
  <si>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</si>
  <si>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</si>
  <si>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</si>
  <si>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</si>
  <si>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</si>
  <si>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</si>
  <si>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</si>
  <si>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</si>
  <si>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</si>
  <si>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</si>
  <si>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</si>
  <si>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</si>
  <si>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</si>
  <si>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</si>
  <si>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</si>
  <si>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</si>
  <si>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</si>
  <si>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</si>
  <si>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</si>
  <si>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</si>
  <si>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</si>
  <si>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</si>
  <si>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</si>
  <si>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</si>
  <si>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</si>
  <si>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</si>
  <si>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</si>
  <si>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</si>
  <si>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</si>
  <si>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</si>
  <si>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</si>
  <si>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</si>
  <si>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</si>
  <si>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</si>
  <si>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</si>
  <si>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</si>
  <si>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</si>
  <si>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</si>
  <si>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</si>
  <si>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</si>
  <si>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</si>
  <si>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</si>
  <si>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</si>
  <si>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</si>
  <si>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</si>
  <si>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</si>
  <si>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</si>
  <si>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</si>
  <si>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</si>
  <si>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</si>
  <si>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</si>
  <si>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</si>
  <si>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</si>
  <si>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</si>
  <si>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</si>
  <si>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</si>
  <si>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</si>
  <si>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</si>
  <si>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</si>
  <si>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</si>
  <si>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</si>
  <si>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</si>
  <si>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</si>
  <si>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</si>
  <si>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</si>
  <si>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</si>
  <si>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</si>
  <si>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</si>
  <si>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</si>
  <si>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</si>
  <si>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</si>
  <si>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</si>
  <si>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</si>
  <si>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</si>
  <si>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</si>
  <si>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</si>
  <si>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</si>
  <si>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</si>
  <si>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</si>
  <si>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</si>
  <si>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</si>
  <si>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</si>
  <si>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</si>
  <si>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</si>
  <si>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</si>
  <si>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</si>
  <si>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</si>
  <si>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</si>
  <si>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</si>
  <si>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</si>
  <si>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</si>
  <si>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</si>
  <si>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</si>
  <si>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</si>
  <si>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</si>
  <si>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</si>
  <si>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</si>
  <si>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</si>
  <si>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</si>
  <si>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</si>
  <si>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</si>
  <si>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</si>
  <si>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</si>
  <si>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</si>
  <si>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</si>
  <si>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</si>
  <si>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</si>
  <si>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</si>
  <si>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</si>
  <si>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</si>
  <si>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</si>
  <si>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</si>
  <si>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</si>
  <si>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</si>
  <si>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</si>
  <si>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</si>
  <si>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</si>
  <si>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</si>
  <si>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</si>
  <si>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</si>
  <si>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</si>
  <si>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</si>
  <si>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</si>
  <si>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</si>
  <si>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</si>
  <si>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</si>
  <si>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</si>
  <si>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</si>
  <si>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</si>
  <si>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</si>
  <si>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</si>
  <si>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</si>
  <si>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</si>
  <si>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</si>
  <si>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</si>
  <si>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</si>
  <si>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</si>
  <si>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</si>
  <si>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</si>
  <si>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</si>
  <si>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</si>
  <si>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</si>
  <si>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</si>
  <si>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</si>
  <si>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</si>
  <si>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</si>
  <si>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</si>
  <si>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</si>
  <si>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</si>
  <si>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</si>
  <si>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</si>
  <si>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</si>
  <si>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</si>
  <si>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</si>
  <si>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</si>
  <si>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</si>
  <si>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</si>
  <si>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</si>
  <si>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</si>
  <si>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</si>
  <si>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</si>
  <si>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</si>
  <si>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</si>
  <si>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</si>
  <si>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</si>
  <si>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</si>
  <si>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</si>
  <si>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</si>
  <si>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</si>
  <si>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</si>
  <si>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</si>
  <si>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</si>
  <si>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</si>
  <si>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</si>
  <si>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</si>
  <si>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</si>
  <si>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</si>
  <si>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</si>
  <si>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</si>
  <si>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</si>
  <si>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</si>
  <si>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</si>
  <si>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</si>
  <si>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</si>
  <si>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</si>
  <si>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</si>
  <si>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</si>
  <si>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</si>
  <si>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</si>
  <si>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</si>
  <si>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</si>
  <si>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</si>
  <si>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</si>
  <si>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</si>
  <si>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</si>
  <si>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</si>
  <si>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</si>
  <si>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</si>
  <si>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</si>
  <si>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</si>
  <si>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</si>
  <si>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</si>
  <si>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</si>
  <si>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</si>
  <si>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</si>
  <si>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</si>
  <si>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</si>
  <si>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</si>
  <si>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</si>
  <si>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</si>
  <si>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</si>
  <si>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</si>
  <si>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</si>
  <si>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</si>
  <si>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</si>
  <si>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</si>
  <si>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</si>
  <si>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</si>
  <si>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</si>
  <si>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</si>
  <si>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</si>
  <si>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</si>
  <si>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</si>
  <si>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</si>
  <si>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</si>
  <si>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</si>
  <si>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</si>
  <si>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</si>
  <si>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</si>
  <si>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</si>
  <si>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</si>
  <si>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</si>
  <si>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</si>
  <si>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</si>
  <si>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</si>
  <si>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</si>
  <si>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</si>
  <si>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</si>
  <si>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</si>
  <si>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</si>
  <si>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</si>
  <si>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</si>
  <si>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</si>
  <si>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</si>
  <si>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</si>
  <si>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</si>
  <si>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</si>
  <si>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</si>
  <si>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</si>
  <si>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</si>
  <si>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</si>
  <si>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</si>
  <si>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</si>
  <si>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</si>
  <si>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</si>
  <si>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</si>
  <si>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</si>
  <si>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</si>
  <si>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</si>
  <si>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</si>
  <si>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</si>
  <si>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</si>
  <si>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</si>
  <si>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</si>
  <si>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</si>
  <si>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</si>
  <si>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</si>
  <si>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</si>
  <si>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</si>
  <si>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</si>
  <si>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</si>
  <si>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</si>
  <si>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</si>
  <si>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</si>
  <si>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</si>
  <si>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</si>
  <si>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</si>
  <si>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</si>
  <si>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</si>
  <si>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</si>
  <si>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</si>
  <si>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</si>
  <si>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</si>
  <si>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</si>
  <si>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</si>
  <si>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</si>
  <si>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</si>
  <si>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</si>
  <si>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</si>
  <si>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</si>
  <si>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</si>
  <si>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</si>
  <si>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</si>
  <si>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</si>
  <si>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</si>
  <si>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</si>
  <si>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</si>
  <si>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</si>
  <si>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</si>
  <si>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</si>
  <si>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</si>
  <si>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</si>
  <si>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</si>
  <si>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</si>
  <si>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</si>
  <si>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</si>
  <si>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</si>
  <si>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</si>
  <si>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</si>
  <si>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</si>
  <si>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</si>
  <si>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</si>
  <si>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</si>
  <si>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</si>
  <si>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</si>
  <si>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</si>
  <si>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</si>
  <si>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</si>
  <si>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</si>
  <si>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</si>
  <si>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</si>
  <si>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</si>
  <si>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</si>
  <si>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</si>
  <si>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</si>
  <si>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</si>
  <si>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</si>
  <si>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</si>
  <si>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</si>
  <si>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</si>
  <si>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</si>
  <si>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</si>
  <si>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</si>
  <si>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</si>
  <si>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</si>
  <si>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</si>
  <si>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</si>
  <si>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</si>
  <si>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</si>
  <si>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</si>
  <si>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</si>
  <si>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</si>
  <si>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</si>
  <si>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</si>
  <si>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</si>
  <si>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</si>
  <si>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</si>
  <si>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</si>
  <si>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</si>
  <si>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</si>
  <si>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</si>
  <si>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</si>
  <si>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</si>
  <si>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</si>
  <si>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</si>
  <si>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</si>
  <si>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</si>
  <si>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</si>
  <si>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</si>
  <si>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</si>
  <si>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</si>
  <si>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</si>
  <si>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</si>
  <si>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</si>
  <si>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</si>
  <si>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</si>
  <si>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</si>
  <si>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</si>
  <si>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</si>
  <si>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</si>
  <si>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</si>
  <si>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</si>
  <si>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</si>
  <si>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</si>
  <si>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</si>
  <si>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</si>
  <si>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</si>
  <si>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</si>
  <si>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</si>
  <si>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</si>
  <si>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</si>
  <si>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</si>
  <si>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</si>
  <si>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</si>
  <si>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</si>
  <si>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</si>
  <si>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</si>
  <si>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</si>
  <si>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</si>
  <si>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</si>
  <si>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</si>
  <si>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</si>
  <si>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</si>
  <si>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</si>
  <si>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</si>
  <si>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</si>
  <si>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</si>
  <si>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</si>
  <si>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</si>
  <si>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</si>
  <si>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</si>
  <si>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</si>
  <si>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</si>
  <si>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</si>
  <si>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</si>
  <si>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</si>
  <si>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</si>
  <si>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</si>
  <si>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</si>
  <si>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</si>
  <si>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</si>
  <si>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</si>
  <si>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</si>
  <si>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</si>
  <si>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</si>
  <si>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</si>
  <si>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</si>
  <si>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</si>
  <si>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</si>
  <si>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</si>
  <si>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</si>
  <si>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</si>
  <si>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</si>
  <si>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</si>
  <si>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</si>
  <si>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</si>
  <si>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</si>
  <si>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</si>
  <si>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</si>
  <si>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</si>
  <si>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</si>
  <si>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</si>
  <si>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</si>
  <si>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</si>
  <si>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</si>
  <si>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</si>
  <si>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</si>
  <si>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</si>
  <si>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</si>
  <si>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</si>
  <si>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</si>
  <si>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</si>
  <si>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</si>
  <si>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</si>
  <si>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</si>
  <si>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</si>
  <si>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</si>
  <si>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</si>
  <si>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</si>
  <si>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</si>
  <si>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</si>
  <si>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</si>
  <si>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</si>
  <si>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</si>
  <si>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</si>
  <si>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</si>
  <si>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</si>
  <si>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</si>
  <si>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</si>
  <si>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</si>
  <si>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</si>
  <si>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</si>
  <si>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</si>
  <si>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</si>
  <si>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</si>
  <si>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</si>
  <si>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</si>
  <si>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</si>
  <si>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</si>
  <si>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</si>
  <si>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</si>
  <si>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</si>
  <si>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</si>
  <si>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</si>
  <si>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</si>
  <si>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</si>
  <si>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</si>
  <si>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</si>
  <si>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</si>
  <si>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</si>
  <si>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</si>
  <si>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</si>
  <si>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</si>
  <si>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</si>
  <si>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</si>
  <si>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</si>
  <si>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</si>
  <si>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</si>
  <si>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</si>
  <si>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</si>
  <si>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</si>
  <si>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</si>
  <si>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</si>
  <si>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</si>
  <si>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</si>
  <si>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</si>
  <si>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</si>
  <si>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</si>
  <si>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</si>
  <si>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</si>
  <si>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</si>
  <si>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</si>
  <si>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</si>
  <si>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</si>
  <si>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</si>
  <si>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</si>
  <si>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</si>
  <si>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</si>
  <si>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</si>
  <si>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</si>
  <si>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</si>
  <si>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</si>
  <si>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</si>
  <si>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</si>
  <si>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</si>
  <si>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</si>
  <si>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</si>
  <si>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</si>
  <si>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</si>
  <si>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</si>
  <si>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</si>
  <si>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</si>
  <si>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</si>
  <si>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</si>
  <si>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</si>
  <si>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</si>
  <si>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</si>
  <si>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</si>
  <si>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</si>
  <si>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</si>
  <si>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</si>
  <si>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</si>
  <si>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</si>
  <si>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</si>
  <si>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</si>
  <si>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</si>
  <si>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</si>
  <si>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</si>
  <si>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</si>
  <si>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</si>
  <si>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</si>
  <si>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</si>
  <si>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</si>
  <si>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</si>
  <si>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</si>
  <si>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</si>
  <si>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</si>
  <si>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</si>
  <si>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</si>
  <si>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</si>
  <si>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</si>
  <si>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</si>
  <si>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</si>
  <si>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</si>
  <si>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</si>
  <si>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</si>
  <si>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</si>
  <si>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</si>
  <si>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</si>
  <si>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</si>
  <si>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</si>
  <si>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</si>
  <si>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</si>
  <si>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</si>
  <si>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</si>
  <si>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</si>
  <si>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</si>
  <si>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</si>
  <si>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</si>
  <si>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</si>
  <si>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</si>
  <si>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</si>
  <si>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</si>
  <si>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</si>
  <si>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</si>
  <si>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</si>
  <si>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</si>
  <si>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</si>
  <si>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</si>
  <si>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</si>
  <si>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</si>
  <si>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</si>
  <si>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</si>
  <si>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</si>
  <si>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</si>
  <si>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</si>
  <si>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</si>
  <si>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</si>
  <si>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</si>
  <si>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</si>
  <si>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</si>
  <si>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</si>
  <si>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</si>
  <si>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</si>
  <si>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</si>
  <si>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</si>
  <si>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</si>
  <si>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</si>
  <si>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</si>
  <si>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</si>
  <si>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</si>
  <si>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</si>
  <si>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</si>
  <si>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</si>
  <si>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</si>
  <si>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</si>
  <si>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</si>
  <si>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</si>
  <si>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</si>
  <si>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</si>
  <si>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</si>
  <si>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</si>
  <si>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</si>
  <si>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</si>
  <si>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</si>
  <si>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</si>
  <si>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</si>
  <si>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</si>
  <si>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</si>
  <si>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</si>
  <si>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</si>
  <si>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</si>
  <si>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</si>
  <si>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</si>
  <si>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</si>
  <si>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</si>
  <si>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</si>
  <si>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</si>
  <si>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</si>
  <si>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</si>
  <si>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</si>
  <si>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</si>
  <si>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</si>
  <si>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</si>
  <si>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</si>
  <si>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</si>
  <si>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</si>
  <si>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</si>
  <si>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</si>
  <si>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</si>
  <si>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</si>
  <si>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</si>
  <si>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</si>
  <si>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</si>
  <si>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</si>
  <si>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</si>
  <si>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</si>
  <si>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</si>
  <si>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</si>
  <si>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</si>
  <si>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</si>
  <si>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</si>
  <si>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</si>
  <si>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</si>
  <si>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</si>
  <si>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</si>
  <si>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</si>
  <si>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</si>
  <si>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</si>
  <si>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</si>
  <si>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</si>
  <si>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</si>
  <si>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</si>
  <si>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</si>
  <si>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</si>
  <si>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</si>
  <si>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</si>
  <si>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</si>
  <si>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</si>
  <si>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</si>
  <si>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</si>
  <si>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</si>
  <si>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</si>
  <si>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</si>
  <si>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</si>
  <si>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</si>
  <si>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</si>
  <si>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</si>
  <si>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</si>
  <si>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</si>
  <si>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</si>
  <si>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</si>
  <si>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</si>
  <si>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</si>
  <si>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</si>
  <si>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</si>
  <si>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</si>
  <si>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</si>
  <si>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</si>
  <si>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</si>
  <si>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</si>
  <si>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</si>
  <si>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</si>
  <si>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</si>
  <si>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</si>
  <si>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</si>
  <si>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</si>
  <si>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</si>
  <si>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</si>
  <si>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</si>
  <si>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</si>
  <si>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</si>
  <si>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</si>
  <si>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</si>
  <si>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</si>
  <si>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</si>
  <si>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</si>
  <si>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</si>
  <si>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</si>
  <si>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</si>
  <si>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</si>
  <si>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</si>
  <si>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</si>
  <si>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</si>
  <si>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</si>
  <si>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</si>
  <si>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</si>
  <si>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</si>
  <si>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</si>
  <si>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</si>
  <si>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</si>
  <si>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</si>
  <si>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</si>
  <si>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</si>
  <si>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</si>
  <si>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</si>
  <si>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</si>
  <si>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</si>
  <si>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</si>
  <si>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</si>
  <si>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</si>
  <si>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</si>
  <si>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</si>
  <si>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</si>
  <si>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</si>
  <si>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</si>
  <si>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</si>
  <si>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</si>
  <si>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</si>
  <si>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</si>
  <si>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</si>
  <si>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</si>
  <si>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</si>
  <si>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</si>
  <si>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</si>
  <si>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</si>
  <si>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</si>
  <si>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</si>
  <si>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</si>
  <si>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</si>
  <si>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</si>
  <si>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</si>
  <si>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</si>
  <si>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</si>
  <si>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</si>
  <si>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</si>
  <si>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</si>
  <si>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</si>
  <si>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</si>
  <si>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</si>
  <si>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</si>
  <si>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</si>
  <si>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</si>
  <si>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</si>
  <si>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</si>
  <si>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</si>
  <si>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</si>
  <si>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</si>
  <si>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</si>
  <si>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</si>
  <si>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</si>
  <si>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</si>
  <si>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</si>
  <si>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</si>
  <si>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</si>
  <si>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</si>
  <si>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</si>
  <si>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</si>
  <si>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</si>
  <si>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</si>
  <si>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</si>
  <si>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</si>
  <si>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</si>
  <si>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</si>
  <si>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</si>
  <si>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</si>
  <si>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</si>
  <si>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</si>
  <si>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</si>
  <si>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</si>
  <si>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</si>
  <si>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</si>
  <si>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</si>
  <si>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</si>
  <si>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</si>
  <si>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</si>
  <si>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</si>
  <si>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</si>
  <si>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</si>
  <si>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</si>
  <si>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</si>
  <si>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</si>
  <si>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</si>
  <si>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</si>
  <si>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</si>
  <si>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</si>
  <si>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</si>
  <si>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</si>
  <si>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</si>
  <si>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</si>
  <si>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</si>
  <si>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</si>
  <si>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</si>
  <si>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</si>
  <si>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</si>
  <si>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</si>
  <si>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</si>
  <si>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</si>
  <si>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</si>
  <si>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</si>
  <si>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</si>
  <si>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</si>
  <si>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</si>
  <si>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</si>
  <si>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</si>
  <si>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</si>
  <si>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</si>
  <si>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</si>
  <si>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</si>
  <si>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</si>
  <si>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</si>
  <si>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</si>
  <si>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</si>
  <si>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</si>
  <si>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</si>
  <si>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</si>
  <si>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</si>
  <si>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</si>
  <si>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</si>
  <si>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</si>
  <si>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</si>
  <si>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</si>
  <si>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</si>
  <si>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</si>
  <si>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</si>
  <si>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</si>
  <si>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</si>
  <si>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</si>
  <si>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</si>
  <si>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</si>
  <si>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</si>
  <si>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</si>
  <si>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</si>
  <si>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</si>
  <si>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</si>
  <si>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</si>
  <si>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</si>
  <si>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</si>
  <si>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</si>
  <si>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</si>
  <si>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</si>
  <si>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</si>
  <si>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</si>
  <si>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</si>
  <si>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</si>
  <si>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</si>
  <si>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</si>
  <si>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</si>
  <si>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</si>
  <si>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</si>
  <si>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</si>
  <si>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</si>
  <si>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</si>
  <si>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</si>
  <si>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</si>
  <si>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</si>
  <si>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</si>
  <si>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</si>
  <si>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</si>
  <si>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</si>
  <si>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</si>
  <si>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</si>
  <si>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</si>
  <si>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</si>
  <si>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</si>
  <si>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</si>
  <si>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</si>
  <si>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</si>
  <si>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</si>
  <si>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</si>
  <si>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</si>
  <si>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</si>
  <si>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</si>
  <si>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</si>
  <si>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</si>
  <si>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</si>
  <si>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</si>
  <si>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</si>
  <si>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</si>
  <si>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</si>
  <si>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</si>
  <si>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</si>
  <si>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</si>
  <si>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</si>
  <si>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</si>
  <si>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</si>
  <si>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</si>
  <si>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</si>
  <si>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</si>
  <si>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</si>
  <si>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</si>
  <si>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</si>
  <si>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</si>
  <si>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</si>
  <si>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</si>
  <si>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</si>
  <si>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</si>
  <si>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</si>
  <si>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</si>
  <si>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</si>
  <si>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</si>
  <si>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</si>
  <si>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</si>
  <si>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</si>
  <si>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</si>
  <si>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</si>
  <si>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</si>
  <si>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</si>
  <si>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</si>
  <si>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</si>
  <si>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</si>
  <si>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</si>
  <si>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</si>
  <si>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</si>
  <si>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</si>
  <si>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</si>
  <si>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</si>
  <si>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</si>
  <si>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</si>
  <si>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</si>
  <si>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</si>
  <si>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</si>
  <si>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</si>
  <si>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</si>
  <si>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</si>
  <si>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</si>
  <si>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</si>
  <si>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</si>
  <si>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</si>
  <si>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</si>
  <si>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</si>
  <si>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</si>
  <si>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</si>
  <si>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</si>
  <si>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</si>
  <si>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</si>
  <si>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</si>
  <si>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</si>
  <si>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</si>
  <si>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</si>
  <si>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</si>
  <si>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</si>
  <si>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</si>
  <si>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</si>
  <si>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</si>
  <si>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</si>
  <si>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</si>
  <si>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</si>
  <si>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</si>
  <si>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</si>
  <si>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</si>
  <si>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</si>
  <si>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</si>
  <si>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</si>
  <si>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</si>
  <si>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</si>
  <si>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</si>
  <si>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</si>
  <si>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</si>
  <si>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</si>
  <si>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</si>
  <si>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</si>
  <si>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</si>
  <si>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</si>
  <si>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</si>
  <si>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</si>
  <si>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</si>
  <si>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</si>
  <si>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</si>
  <si>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</si>
  <si>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</si>
  <si>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</si>
  <si>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</si>
  <si>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</si>
  <si>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</si>
  <si>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</si>
  <si>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</si>
  <si>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</si>
  <si>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</si>
  <si>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</si>
  <si>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</si>
  <si>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</si>
  <si>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</si>
  <si>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</si>
  <si>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</si>
  <si>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</si>
  <si>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</si>
  <si>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</si>
  <si>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</si>
  <si>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</si>
  <si>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</si>
  <si>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</si>
  <si>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</si>
  <si>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</si>
  <si>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</si>
  <si>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</si>
  <si>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</si>
  <si>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</si>
  <si>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</si>
  <si>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</si>
  <si>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</si>
  <si>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</si>
  <si>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</si>
  <si>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</si>
  <si>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</si>
  <si>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</si>
  <si>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</si>
  <si>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</si>
  <si>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</si>
  <si>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</si>
  <si>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</si>
  <si>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</si>
  <si>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</si>
  <si>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</si>
  <si>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</si>
  <si>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</si>
  <si>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</si>
  <si>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</si>
  <si>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</si>
  <si>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</si>
  <si>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</si>
  <si>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</si>
  <si>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</si>
  <si>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</si>
  <si>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</si>
  <si>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</si>
  <si>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</si>
  <si>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</si>
  <si>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</si>
  <si>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</si>
  <si>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</si>
  <si>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</si>
  <si>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</si>
  <si>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</si>
  <si>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</si>
  <si>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</si>
  <si>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</si>
  <si>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</si>
  <si>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</si>
  <si>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</si>
  <si>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</si>
  <si>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</si>
  <si>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</si>
  <si>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</si>
  <si>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</si>
  <si>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</si>
  <si>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</si>
  <si>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</si>
  <si>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</si>
  <si>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</si>
  <si>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</si>
  <si>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</si>
  <si>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</si>
  <si>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</si>
  <si>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</si>
  <si>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</si>
  <si>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</si>
  <si>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</si>
  <si>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</si>
  <si>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</si>
  <si>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</si>
  <si>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</si>
  <si>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</si>
  <si>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</si>
  <si>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</si>
  <si>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</si>
  <si>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</si>
  <si>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</si>
  <si>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</si>
  <si>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</si>
  <si>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</si>
  <si>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</si>
  <si>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</si>
  <si>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</si>
  <si>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</si>
  <si>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</si>
  <si>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</si>
  <si>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</si>
  <si>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</si>
  <si>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</si>
  <si>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</si>
  <si>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</si>
  <si>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</si>
  <si>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</si>
  <si>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</si>
  <si>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</si>
  <si>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</si>
  <si>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</si>
  <si>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</si>
  <si>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</si>
  <si>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</si>
  <si>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</si>
  <si>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</si>
  <si>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</si>
  <si>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</si>
  <si>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</si>
  <si>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</si>
  <si>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</si>
  <si>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</si>
  <si>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</si>
  <si>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</si>
  <si>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</si>
  <si>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</si>
  <si>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</si>
  <si>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</si>
  <si>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</si>
  <si>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</si>
  <si>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</si>
  <si>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</si>
  <si>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</si>
  <si>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</si>
  <si>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</si>
  <si>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</si>
  <si>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</si>
  <si>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</si>
  <si>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</si>
  <si>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</si>
  <si>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</si>
  <si>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</si>
  <si>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</si>
  <si>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</si>
  <si>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</si>
  <si>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</si>
  <si>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</si>
  <si>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</si>
  <si>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</si>
  <si>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</si>
  <si>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</si>
  <si>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</si>
  <si>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</si>
  <si>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</si>
  <si>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</si>
  <si>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</si>
  <si>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</si>
  <si>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</si>
  <si>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</si>
  <si>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</si>
  <si>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</si>
  <si>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</si>
  <si>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</si>
  <si>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</si>
  <si>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</si>
  <si>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</si>
  <si>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</si>
  <si>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</si>
  <si>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</si>
  <si>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</si>
  <si>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</si>
  <si>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</si>
  <si>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</si>
  <si>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</si>
  <si>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</si>
  <si>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</si>
  <si>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</si>
  <si>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</si>
  <si>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</si>
  <si>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</si>
  <si>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</si>
  <si>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</si>
  <si>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</si>
  <si>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</si>
  <si>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</si>
  <si>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</si>
  <si>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</si>
  <si>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</si>
  <si>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</si>
  <si>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</si>
  <si>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</si>
  <si>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</si>
  <si>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</si>
  <si>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</si>
  <si>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</si>
  <si>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</si>
  <si>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</si>
  <si>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</si>
  <si>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</si>
  <si>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</si>
  <si>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</si>
  <si>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</si>
  <si>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</si>
  <si>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</si>
  <si>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</si>
  <si>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</si>
  <si>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</si>
  <si>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</si>
  <si>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</si>
  <si>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</si>
  <si>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</si>
  <si>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</si>
  <si>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</si>
  <si>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</si>
  <si>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</si>
  <si>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</si>
  <si>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</si>
  <si>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</si>
  <si>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</si>
  <si>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</si>
  <si>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</si>
  <si>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</si>
  <si>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</si>
  <si>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</si>
  <si>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</si>
  <si>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</si>
  <si>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</si>
  <si>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</si>
  <si>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</si>
  <si>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</si>
  <si>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</si>
  <si>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</si>
  <si>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</si>
  <si>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</si>
  <si>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</si>
  <si>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</si>
  <si>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</si>
  <si>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</si>
  <si>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</si>
  <si>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</si>
  <si>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</si>
  <si>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</si>
  <si>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</si>
  <si>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</si>
  <si>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</si>
  <si>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</si>
  <si>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</si>
  <si>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</si>
  <si>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</si>
  <si>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</si>
  <si>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</si>
  <si>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</si>
  <si>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</si>
  <si>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</si>
  <si>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</si>
  <si>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</si>
  <si>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</si>
  <si>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</si>
  <si>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</si>
  <si>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</si>
  <si>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</si>
  <si>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</si>
  <si>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</si>
  <si>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</si>
  <si>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</si>
  <si>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</si>
  <si>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</si>
  <si>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</si>
  <si>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</si>
  <si>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</si>
  <si>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</si>
  <si>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</si>
  <si>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</si>
  <si>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</si>
  <si>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</si>
  <si>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</si>
  <si>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</si>
  <si>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</si>
  <si>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</si>
  <si>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</si>
  <si>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</si>
  <si>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</si>
  <si>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</si>
  <si>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</si>
  <si>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</si>
  <si>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</si>
  <si>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</si>
  <si>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</si>
  <si>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</si>
  <si>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</si>
  <si>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</si>
  <si>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</si>
  <si>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</si>
  <si>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</si>
  <si>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</si>
  <si>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</si>
  <si>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</si>
  <si>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</si>
  <si>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</si>
  <si>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</si>
  <si>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</si>
  <si>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</si>
  <si>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</si>
  <si>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</si>
  <si>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</si>
  <si>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</si>
  <si>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</si>
  <si>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</si>
  <si>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</si>
  <si>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</si>
  <si>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</si>
  <si>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</si>
  <si>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</si>
  <si>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</si>
  <si>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</si>
  <si>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</si>
  <si>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</si>
  <si>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</si>
  <si>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</si>
  <si>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</si>
  <si>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</si>
  <si>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</si>
  <si>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</si>
  <si>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</si>
  <si>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</si>
  <si>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</si>
  <si>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</si>
  <si>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</si>
  <si>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</si>
  <si>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</si>
  <si>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</si>
  <si>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</si>
  <si>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</si>
  <si>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</si>
  <si>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</si>
  <si>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</si>
  <si>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</si>
  <si>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</si>
  <si>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</si>
  <si>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</si>
  <si>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</si>
  <si>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</si>
  <si>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</si>
  <si>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</si>
  <si>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</si>
  <si>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</si>
  <si>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</si>
  <si>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</si>
  <si>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</si>
  <si>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</si>
  <si>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</si>
  <si>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</si>
  <si>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</si>
  <si>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</si>
  <si>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</si>
  <si>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</si>
  <si>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</si>
  <si>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</si>
  <si>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</si>
  <si>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</si>
  <si>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</si>
  <si>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</si>
  <si>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</si>
  <si>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</si>
  <si>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</si>
  <si>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</si>
  <si>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</si>
  <si>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</si>
  <si>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</si>
  <si>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</si>
  <si>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</si>
  <si>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</si>
  <si>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</si>
  <si>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</si>
  <si>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</si>
  <si>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</si>
  <si>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</si>
  <si>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</si>
  <si>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</si>
  <si>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</si>
  <si>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</si>
  <si>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</si>
  <si>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</si>
  <si>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</si>
  <si>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</si>
  <si>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</si>
  <si>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</si>
  <si>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</si>
  <si>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</si>
  <si>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</si>
  <si>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</si>
  <si>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</si>
  <si>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</si>
  <si>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</si>
  <si>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</si>
  <si>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</si>
  <si>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</si>
  <si>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</si>
  <si>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</si>
  <si>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</si>
  <si>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</si>
  <si>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</si>
  <si>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</si>
  <si>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</si>
  <si>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</si>
  <si>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</si>
  <si>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</si>
  <si>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</si>
  <si>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</si>
  <si>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</si>
  <si>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</si>
  <si>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</si>
  <si>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</si>
  <si>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</si>
  <si>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</si>
  <si>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</si>
  <si>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</si>
  <si>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</si>
  <si>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</si>
  <si>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</si>
  <si>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</si>
  <si>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</si>
  <si>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</si>
  <si>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</si>
  <si>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</si>
  <si>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</si>
  <si>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</si>
  <si>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</si>
  <si>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</si>
  <si>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</si>
  <si>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</si>
  <si>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</si>
  <si>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</si>
  <si>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</si>
  <si>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</si>
  <si>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</si>
  <si>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</si>
  <si>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</si>
  <si>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</si>
  <si>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</si>
  <si>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</si>
  <si>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</si>
  <si>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</si>
  <si>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</si>
  <si>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</si>
  <si>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</si>
  <si>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</si>
  <si>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</si>
  <si>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</si>
  <si>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</si>
  <si>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</si>
  <si>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</si>
  <si>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</si>
  <si>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</si>
  <si>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</si>
  <si>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</si>
  <si>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</si>
  <si>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</si>
  <si>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</si>
  <si>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</si>
  <si>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</si>
  <si>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</si>
  <si>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</si>
  <si>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</si>
  <si>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</si>
  <si>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</si>
  <si>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</si>
  <si>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</si>
  <si>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</si>
  <si>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</si>
  <si>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</si>
  <si>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</si>
  <si>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</si>
  <si>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</si>
  <si>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</si>
  <si>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</si>
  <si>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</si>
  <si>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</si>
  <si>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</si>
  <si>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</si>
  <si>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</si>
  <si>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</si>
  <si>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</si>
  <si>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</si>
  <si>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</si>
  <si>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</si>
  <si>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</si>
  <si>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</si>
  <si>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</si>
  <si>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</si>
  <si>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</si>
  <si>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</si>
  <si>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</si>
  <si>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</si>
  <si>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</si>
  <si>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</si>
  <si>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</si>
  <si>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</si>
  <si>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</si>
  <si>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</si>
  <si>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</si>
  <si>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</si>
  <si>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</si>
  <si>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</si>
  <si>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</si>
  <si>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</si>
  <si>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</si>
  <si>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</si>
  <si>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</si>
  <si>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</si>
  <si>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</si>
  <si>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</si>
  <si>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</si>
  <si>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</si>
  <si>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</si>
  <si>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</si>
  <si>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</si>
  <si>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</si>
  <si>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</si>
  <si>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</si>
  <si>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</si>
  <si>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</si>
  <si>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</si>
  <si>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</si>
  <si>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</si>
  <si>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</si>
  <si>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</si>
  <si>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</si>
  <si>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</si>
  <si>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</si>
  <si>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</si>
  <si>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</si>
  <si>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</si>
  <si>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</si>
  <si>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</si>
  <si>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</si>
  <si>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</si>
  <si>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</si>
  <si>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</si>
  <si>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</si>
  <si>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</si>
  <si>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</si>
  <si>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</si>
  <si>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</si>
  <si>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</si>
  <si>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</si>
  <si>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</si>
  <si>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</si>
  <si>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</si>
  <si>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</si>
  <si>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</si>
  <si>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</si>
  <si>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</si>
  <si>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</si>
  <si>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</si>
  <si>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</si>
  <si>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</si>
  <si>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</si>
  <si>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</si>
  <si>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</si>
  <si>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</si>
  <si>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</si>
  <si>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</si>
  <si>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</si>
  <si>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</si>
  <si>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</si>
  <si>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</si>
  <si>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</si>
  <si>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</si>
  <si>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</si>
  <si>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</si>
  <si>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</si>
  <si>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</si>
  <si>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</si>
  <si>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</si>
  <si>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</si>
  <si>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</si>
  <si>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</si>
  <si>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</si>
  <si>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</si>
  <si>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</si>
  <si>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</si>
  <si>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</si>
  <si>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</si>
  <si>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</si>
  <si>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</si>
  <si>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</si>
  <si>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</si>
  <si>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</si>
  <si>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</si>
  <si>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</si>
  <si>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</si>
  <si>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</si>
  <si>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</si>
  <si>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</si>
  <si>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</si>
  <si>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</si>
  <si>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</si>
  <si>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</si>
  <si>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</si>
  <si>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</si>
  <si>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</si>
  <si>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</si>
  <si>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</si>
  <si>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</si>
  <si>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</si>
  <si>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</si>
  <si>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</si>
  <si>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</si>
  <si>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</si>
  <si>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</si>
  <si>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</si>
  <si>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</si>
  <si>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</si>
  <si>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</si>
  <si>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</si>
  <si>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</si>
  <si>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</si>
  <si>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</si>
  <si>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</si>
  <si>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</si>
  <si>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</si>
  <si>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</si>
  <si>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</si>
  <si>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</si>
  <si>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</si>
  <si>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</si>
  <si>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</si>
  <si>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</si>
  <si>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</si>
  <si>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</si>
  <si>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</si>
  <si>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</si>
  <si>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</si>
  <si>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</si>
  <si>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</si>
  <si>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</si>
  <si>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</si>
  <si>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</si>
  <si>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</si>
  <si>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</si>
  <si>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</si>
  <si>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</si>
  <si>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</si>
  <si>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</si>
  <si>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</si>
  <si>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</si>
  <si>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</si>
  <si>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</si>
  <si>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</si>
  <si>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</si>
  <si>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</si>
  <si>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</si>
  <si>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</si>
  <si>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</si>
  <si>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</si>
  <si>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</si>
  <si>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</si>
  <si>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</si>
  <si>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</si>
  <si>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</si>
  <si>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</si>
  <si>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</si>
  <si>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</si>
  <si>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</si>
  <si>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</si>
  <si>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</si>
  <si>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</si>
  <si>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</si>
  <si>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</si>
  <si>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</si>
  <si>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</si>
  <si>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</si>
  <si>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</si>
  <si>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</si>
  <si>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</si>
  <si>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</si>
  <si>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</si>
  <si>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</si>
  <si>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</si>
  <si>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</si>
  <si>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</si>
  <si>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</si>
  <si>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</si>
  <si>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</si>
  <si>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</si>
  <si>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</si>
  <si>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</si>
  <si>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</si>
  <si>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</si>
  <si>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</si>
  <si>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</si>
  <si>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</si>
  <si>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</si>
  <si>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</si>
  <si>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</si>
  <si>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</si>
  <si>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</si>
  <si>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</si>
  <si>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</si>
  <si>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</si>
  <si>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</si>
  <si>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</si>
  <si>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</si>
  <si>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</si>
  <si>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</si>
  <si>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</si>
  <si>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</si>
  <si>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</si>
  <si>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</si>
  <si>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</si>
  <si>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</si>
  <si>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</si>
  <si>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</si>
  <si>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</si>
  <si>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</si>
  <si>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</si>
  <si>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</si>
  <si>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</si>
  <si>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</si>
  <si>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</si>
  <si>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</si>
  <si>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</si>
  <si>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</si>
  <si>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</si>
  <si>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</si>
  <si>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</si>
  <si>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</si>
  <si>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</si>
  <si>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</si>
  <si>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</si>
  <si>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</si>
  <si>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</si>
  <si>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</si>
  <si>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</si>
  <si>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</si>
  <si>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</si>
  <si>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</si>
  <si>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</si>
  <si>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</si>
  <si>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</si>
  <si>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</si>
  <si>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</si>
  <si>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</si>
  <si>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</si>
  <si>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</si>
  <si>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</si>
  <si>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</si>
  <si>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</si>
  <si>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</si>
  <si>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</si>
  <si>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</si>
  <si>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</si>
  <si>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</si>
  <si>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</si>
  <si>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</si>
  <si>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</si>
  <si>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</si>
  <si>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</si>
  <si>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</si>
  <si>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</si>
  <si>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</si>
  <si>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</si>
  <si>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</si>
  <si>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</si>
  <si>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</si>
  <si>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</si>
  <si>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</si>
  <si>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</si>
  <si>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</si>
  <si>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</si>
  <si>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</si>
  <si>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</si>
  <si>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</si>
  <si>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</si>
  <si>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</si>
  <si>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</si>
  <si>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</si>
  <si>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</si>
  <si>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</si>
  <si>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</si>
  <si>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</si>
  <si>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</si>
  <si>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</si>
  <si>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</si>
  <si>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</si>
  <si>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</si>
  <si>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</si>
  <si>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</si>
  <si>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</si>
  <si>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</si>
  <si>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</si>
  <si>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</si>
  <si>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</si>
  <si>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</si>
  <si>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</si>
  <si>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</si>
  <si>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</si>
  <si>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</si>
  <si>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</si>
  <si>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</si>
  <si>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</si>
  <si>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</si>
  <si>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</si>
  <si>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</si>
  <si>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</si>
  <si>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</si>
  <si>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</si>
  <si>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</si>
  <si>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</si>
  <si>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</si>
  <si>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</si>
  <si>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</si>
  <si>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</si>
  <si>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</si>
  <si>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</si>
  <si>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</si>
  <si>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</si>
  <si>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</si>
  <si>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</si>
  <si>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</si>
  <si>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</si>
  <si>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</si>
  <si>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</si>
  <si>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</si>
  <si>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</si>
  <si>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</si>
  <si>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</si>
  <si>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</si>
  <si>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</si>
  <si>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</si>
  <si>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</si>
  <si>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</si>
  <si>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</si>
  <si>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</si>
  <si>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</si>
  <si>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</si>
  <si>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</si>
  <si>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</si>
  <si>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</si>
  <si>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</si>
  <si>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</si>
  <si>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</si>
  <si>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</si>
  <si>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</si>
  <si>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</si>
  <si>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</si>
  <si>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</si>
  <si>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</si>
  <si>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</si>
  <si>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</si>
  <si>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</si>
  <si>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</si>
  <si>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</si>
  <si>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</si>
  <si>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</si>
  <si>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</si>
  <si>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</si>
  <si>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</si>
  <si>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</si>
  <si>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</si>
  <si>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</si>
  <si>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</si>
  <si>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</si>
  <si>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</si>
  <si>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</si>
  <si>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</si>
  <si>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</si>
  <si>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</si>
  <si>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</si>
  <si>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</si>
  <si>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</si>
  <si>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</si>
  <si>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</si>
  <si>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</si>
  <si>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</si>
  <si>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</si>
  <si>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</si>
  <si>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</si>
  <si>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</si>
  <si>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</si>
  <si>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</si>
  <si>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</si>
  <si>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</si>
  <si>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</si>
  <si>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</si>
  <si>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</si>
  <si>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</si>
  <si>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</si>
  <si>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</si>
  <si>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</si>
  <si>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</si>
  <si>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</si>
  <si>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</si>
  <si>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</si>
  <si>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</si>
  <si>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</si>
  <si>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</si>
  <si>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</si>
  <si>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</si>
  <si>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</si>
  <si>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</si>
  <si>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</si>
  <si>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</si>
  <si>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</si>
  <si>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</si>
  <si>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</si>
  <si>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</si>
  <si>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</si>
  <si>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</si>
  <si>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</si>
  <si>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</si>
  <si>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</si>
  <si>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</si>
  <si>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</si>
  <si>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</si>
  <si>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</si>
  <si>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</si>
  <si>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</si>
  <si>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</si>
  <si>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</si>
  <si>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</si>
  <si>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</si>
  <si>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</si>
  <si>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</si>
  <si>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</si>
  <si>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</si>
  <si>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</si>
  <si>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</si>
  <si>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</si>
  <si>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</si>
  <si>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</si>
  <si>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</si>
  <si>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</si>
  <si>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</si>
  <si>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</si>
  <si>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</si>
  <si>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</si>
  <si>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</si>
  <si>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</si>
  <si>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</si>
  <si>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</si>
  <si>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</si>
  <si>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</si>
  <si>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</si>
  <si>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</si>
  <si>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</si>
  <si>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</si>
  <si>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</si>
  <si>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</si>
  <si>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</si>
  <si>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</si>
  <si>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</si>
  <si>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</si>
  <si>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</si>
  <si>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</si>
  <si>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</si>
  <si>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</si>
  <si>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</si>
  <si>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</si>
  <si>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</si>
  <si>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</si>
  <si>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</si>
  <si>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</si>
  <si>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</si>
  <si>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</si>
  <si>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</si>
  <si>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</si>
  <si>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</si>
  <si>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</si>
  <si>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</si>
  <si>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</si>
  <si>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</si>
  <si>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</si>
  <si>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</si>
  <si>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</si>
  <si>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</si>
  <si>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</si>
  <si>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</si>
  <si>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</si>
  <si>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</si>
  <si>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</si>
  <si>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</si>
  <si>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</si>
  <si>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</si>
  <si>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</si>
  <si>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</si>
  <si>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</si>
  <si>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</si>
  <si>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</si>
  <si>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</si>
  <si>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</si>
  <si>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</si>
  <si>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</si>
  <si>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</si>
  <si>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</si>
  <si>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</si>
  <si>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</si>
  <si>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</si>
  <si>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</si>
  <si>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</si>
  <si>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</si>
  <si>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</si>
  <si>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</si>
  <si>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</si>
  <si>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</si>
  <si>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</si>
  <si>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</si>
  <si>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</si>
  <si>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</si>
  <si>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</si>
  <si>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</si>
  <si>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</si>
  <si>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</si>
  <si>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</si>
  <si>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</si>
  <si>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</si>
  <si>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</si>
  <si>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</si>
  <si>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</si>
  <si>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</si>
  <si>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</si>
  <si>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</si>
  <si>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</si>
  <si>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</si>
  <si>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</si>
  <si>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</si>
  <si>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</si>
  <si>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</si>
  <si>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</si>
  <si>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</si>
  <si>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</si>
  <si>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</si>
  <si>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</si>
  <si>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</si>
  <si>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</si>
  <si>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</si>
  <si>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</si>
  <si>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</si>
  <si>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</si>
  <si>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</si>
  <si>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</si>
  <si>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</si>
  <si>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</si>
  <si>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</si>
  <si>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</si>
  <si>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</si>
  <si>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</si>
  <si>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</si>
  <si>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</si>
  <si>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</si>
  <si>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</si>
  <si>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</si>
  <si>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</si>
  <si>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</si>
  <si>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</si>
  <si>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</si>
  <si>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</si>
  <si>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</si>
  <si>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</si>
  <si>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</si>
  <si>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</si>
  <si>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</si>
  <si>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</si>
  <si>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</si>
  <si>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</si>
  <si>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</si>
  <si>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</si>
  <si>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</si>
  <si>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</si>
  <si>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</si>
  <si>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</si>
  <si>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</si>
  <si>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</si>
  <si>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</si>
  <si>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</si>
  <si>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</si>
  <si>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</si>
  <si>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</si>
  <si>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</si>
  <si>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</si>
  <si>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</si>
  <si>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</si>
  <si>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</si>
  <si>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</si>
  <si>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</si>
  <si>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</si>
  <si>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</si>
  <si>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</si>
  <si>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</si>
  <si>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</si>
  <si>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</si>
  <si>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</si>
  <si>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</si>
  <si>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</si>
  <si>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</si>
  <si>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</si>
  <si>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</si>
  <si>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</si>
  <si>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</si>
  <si>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</si>
  <si>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</si>
  <si>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</si>
  <si>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</si>
  <si>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</si>
  <si>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</si>
  <si>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</si>
  <si>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</si>
  <si>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</si>
  <si>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</si>
  <si>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</si>
  <si>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</si>
  <si>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</si>
  <si>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</si>
  <si>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</si>
  <si>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</si>
  <si>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</si>
  <si>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</si>
  <si>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</si>
  <si>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</si>
  <si>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</si>
  <si>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</si>
  <si>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</si>
  <si>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</si>
  <si>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</si>
  <si>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</si>
  <si>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</si>
  <si>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</si>
  <si>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</si>
  <si>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</si>
  <si>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</si>
  <si>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</si>
  <si>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</si>
  <si>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</si>
  <si>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</si>
  <si>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</si>
  <si>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</si>
  <si>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</si>
  <si>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</si>
  <si>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</si>
  <si>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</si>
  <si>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</si>
  <si>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</si>
  <si>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</si>
  <si>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</si>
  <si>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</si>
  <si>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</si>
  <si>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</si>
  <si>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</si>
  <si>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</si>
  <si>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</si>
  <si>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</si>
  <si>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</si>
  <si>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</si>
  <si>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</si>
  <si>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</si>
  <si>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</si>
  <si>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</si>
  <si>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</si>
  <si>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</si>
  <si>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</si>
  <si>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</si>
  <si>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</si>
  <si>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</si>
  <si>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</si>
  <si>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</si>
  <si>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</si>
  <si>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</si>
  <si>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</si>
  <si>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</si>
  <si>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</si>
  <si>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</si>
  <si>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</si>
  <si>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</si>
  <si>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</si>
  <si>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</si>
  <si>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</si>
  <si>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</si>
  <si>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</si>
  <si>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</si>
  <si>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</si>
  <si>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</si>
  <si>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</si>
  <si>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</si>
  <si>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</si>
  <si>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</si>
  <si>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</si>
  <si>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</si>
  <si>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</si>
  <si>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</si>
  <si>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</si>
  <si>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</si>
  <si>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</si>
  <si>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</si>
  <si>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</si>
  <si>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</si>
  <si>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</si>
  <si>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</si>
  <si>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</si>
  <si>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</si>
  <si>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</si>
  <si>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</si>
  <si>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</si>
  <si>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</si>
  <si>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</si>
  <si>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</si>
  <si>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</si>
  <si>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</si>
  <si>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</si>
  <si>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</si>
  <si>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</si>
  <si>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</si>
  <si>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</si>
  <si>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</si>
  <si>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</si>
  <si>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</si>
  <si>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</si>
  <si>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</si>
  <si>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</si>
  <si>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</si>
  <si>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</si>
  <si>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</si>
  <si>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</si>
  <si>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</si>
  <si>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</si>
  <si>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</si>
  <si>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</si>
  <si>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</si>
  <si>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</si>
  <si>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</si>
  <si>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</si>
  <si>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</si>
  <si>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</si>
  <si>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</si>
  <si>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</si>
  <si>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</si>
  <si>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</si>
  <si>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</si>
  <si>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</si>
  <si>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</si>
  <si>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</si>
  <si>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</si>
  <si>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</si>
  <si>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</si>
  <si>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</si>
  <si>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</si>
  <si>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</si>
  <si>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</si>
  <si>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</si>
  <si>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</si>
  <si>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</si>
  <si>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</si>
  <si>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</si>
  <si>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</si>
  <si>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</si>
  <si>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</si>
  <si>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</si>
  <si>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</si>
  <si>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</si>
  <si>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</si>
  <si>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</si>
  <si>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</si>
  <si>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</si>
  <si>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</si>
  <si>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</si>
  <si>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</si>
  <si>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</si>
  <si>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</si>
  <si>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</si>
  <si>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</si>
  <si>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</si>
  <si>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</si>
  <si>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</si>
  <si>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</si>
  <si>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</si>
  <si>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</si>
  <si>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</si>
  <si>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</si>
  <si>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</si>
  <si>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</si>
  <si>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</si>
  <si>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</si>
  <si>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</si>
  <si>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</si>
  <si>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</si>
  <si>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</si>
  <si>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</si>
  <si>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</si>
  <si>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</si>
  <si>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</si>
  <si>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</si>
  <si>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</si>
  <si>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</si>
  <si>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</si>
  <si>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</si>
  <si>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</si>
  <si>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</si>
  <si>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</si>
  <si>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</si>
  <si>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</si>
  <si>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</si>
  <si>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</si>
  <si>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</si>
  <si>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</si>
  <si>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</si>
  <si>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</si>
  <si>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</si>
  <si>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</si>
  <si>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</si>
  <si>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</si>
  <si>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</si>
  <si>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</si>
  <si>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</si>
  <si>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</si>
  <si>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</si>
  <si>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</si>
  <si>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</si>
  <si>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</si>
  <si>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</si>
  <si>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</si>
  <si>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</si>
  <si>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</si>
  <si>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</si>
  <si>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</si>
  <si>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</si>
  <si>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</si>
  <si>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</si>
  <si>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</si>
  <si>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</si>
  <si>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</si>
  <si>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</si>
  <si>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</si>
  <si>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</si>
  <si>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</si>
  <si>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</si>
  <si>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</si>
  <si>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</si>
  <si>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</si>
  <si>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</si>
  <si>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</si>
  <si>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</si>
  <si>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</si>
  <si>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</si>
  <si>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</si>
  <si>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</si>
  <si>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</si>
  <si>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</si>
  <si>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</si>
  <si>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</si>
  <si>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</si>
  <si>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</si>
  <si>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</si>
  <si>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</si>
  <si>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</si>
  <si>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</si>
  <si>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</si>
  <si>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</si>
  <si>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</si>
  <si>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</si>
  <si>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</si>
  <si>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</si>
  <si>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</si>
  <si>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</si>
  <si>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</si>
  <si>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</si>
  <si>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</si>
  <si>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</si>
  <si>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</si>
  <si>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</si>
  <si>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</si>
  <si>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</si>
  <si>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</si>
  <si>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</si>
  <si>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</si>
  <si>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</si>
  <si>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</si>
  <si>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</si>
  <si>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</si>
  <si>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</si>
  <si>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</si>
  <si>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</si>
  <si>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</si>
  <si>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</si>
  <si>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</si>
  <si>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</si>
  <si>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</si>
  <si>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</si>
  <si>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</si>
  <si>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</si>
  <si>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</si>
  <si>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</si>
  <si>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</si>
  <si>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</si>
  <si>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</si>
  <si>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</si>
  <si>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</si>
  <si>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</si>
  <si>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</si>
  <si>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</si>
  <si>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</si>
  <si>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</si>
  <si>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</si>
  <si>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</si>
  <si>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</si>
  <si>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</si>
  <si>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</si>
  <si>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</si>
  <si>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</si>
  <si>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</si>
  <si>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</si>
  <si>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</si>
  <si>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</si>
  <si>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</si>
  <si>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</si>
  <si>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</si>
  <si>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</si>
  <si>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</si>
  <si>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</si>
  <si>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</si>
  <si>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</si>
  <si>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</si>
  <si>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</si>
  <si>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</si>
  <si>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</si>
  <si>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</si>
  <si>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</si>
  <si>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</si>
  <si>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</si>
  <si>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</si>
  <si>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</si>
  <si>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</si>
  <si>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</si>
  <si>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</si>
  <si>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</si>
  <si>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</si>
  <si>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</si>
  <si>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</si>
  <si>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</si>
  <si>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</si>
  <si>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</si>
  <si>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</si>
  <si>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</si>
  <si>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</si>
  <si>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</si>
  <si>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</si>
  <si>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</si>
  <si>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</si>
  <si>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</si>
  <si>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</si>
  <si>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</si>
  <si>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</si>
  <si>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</si>
  <si>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</si>
  <si>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</si>
  <si>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</si>
  <si>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</si>
  <si>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</si>
  <si>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</si>
  <si>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</si>
  <si>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</si>
  <si>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</si>
  <si>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</si>
  <si>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</si>
  <si>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</si>
  <si>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</si>
  <si>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</si>
  <si>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</si>
  <si>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</si>
  <si>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</si>
  <si>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</si>
  <si>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</si>
  <si>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</si>
  <si>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</si>
  <si>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</si>
  <si>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</si>
  <si>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</si>
  <si>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</si>
  <si>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</si>
  <si>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</si>
  <si>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</si>
  <si>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</si>
  <si>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</si>
  <si>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</si>
  <si>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</si>
  <si>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</si>
  <si>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</si>
  <si>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</si>
  <si>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</si>
  <si>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</si>
  <si>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</si>
  <si>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</si>
  <si>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</si>
  <si>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</si>
  <si>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</si>
  <si>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</si>
  <si>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</si>
  <si>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</si>
  <si>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</si>
  <si>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</si>
  <si>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</si>
  <si>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</si>
  <si>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</si>
  <si>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</si>
  <si>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</si>
  <si>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</si>
  <si>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</si>
  <si>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</si>
  <si>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</si>
  <si>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</si>
  <si>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</si>
  <si>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</si>
  <si>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</si>
  <si>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</si>
  <si>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</si>
  <si>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</si>
  <si>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</si>
  <si>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</si>
  <si>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</si>
  <si>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</si>
  <si>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</si>
  <si>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</si>
  <si>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</si>
  <si>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</si>
  <si>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</si>
  <si>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</si>
  <si>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</si>
  <si>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</si>
  <si>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</si>
  <si>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</si>
  <si>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</si>
  <si>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</si>
  <si>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</si>
  <si>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</si>
  <si>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</si>
  <si>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</si>
  <si>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</si>
  <si>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</si>
  <si>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</si>
  <si>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</si>
  <si>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</si>
  <si>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</si>
  <si>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</si>
  <si>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</si>
  <si>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</si>
  <si>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</si>
  <si>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</si>
  <si>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</si>
  <si>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</si>
  <si>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</si>
  <si>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</si>
  <si>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</si>
  <si>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</si>
  <si>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</si>
  <si>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</si>
  <si>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</si>
  <si>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</si>
  <si>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</si>
  <si>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</si>
  <si>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</si>
  <si>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</si>
  <si>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</si>
  <si>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</si>
  <si>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</si>
  <si>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</si>
  <si>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</si>
  <si>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</si>
  <si>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</si>
  <si>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</si>
  <si>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</si>
  <si>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</si>
  <si>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</si>
  <si>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</si>
  <si>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</si>
  <si>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</si>
  <si>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</si>
  <si>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</si>
  <si>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</si>
  <si>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</si>
  <si>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</si>
  <si>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</si>
  <si>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</si>
  <si>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</si>
  <si>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</si>
  <si>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</si>
  <si>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</si>
  <si>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</si>
  <si>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</si>
  <si>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</si>
  <si>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</si>
  <si>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</si>
  <si>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</si>
  <si>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</si>
  <si>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</si>
  <si>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</si>
  <si>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</si>
  <si>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</si>
  <si>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</si>
  <si>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</si>
  <si>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</si>
  <si>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</si>
  <si>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</si>
  <si>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</si>
  <si>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</si>
  <si>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</si>
  <si>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</si>
  <si>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</si>
  <si>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</si>
  <si>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</si>
  <si>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</si>
  <si>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</si>
  <si>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</si>
  <si>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</si>
  <si>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</si>
  <si>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</si>
  <si>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</si>
  <si>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</si>
  <si>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</si>
  <si>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</si>
  <si>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</si>
  <si>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</si>
  <si>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</si>
  <si>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</si>
  <si>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</si>
  <si>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</si>
  <si>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</si>
  <si>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</si>
  <si>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</si>
  <si>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</si>
  <si>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</si>
  <si>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</si>
  <si>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</si>
  <si>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</si>
  <si>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</si>
  <si>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</si>
  <si>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</si>
  <si>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</si>
  <si>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</si>
  <si>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</si>
  <si>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</si>
  <si>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</si>
  <si>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</si>
  <si>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</si>
  <si>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</si>
  <si>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</si>
  <si>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</si>
  <si>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</si>
  <si>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</si>
  <si>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</si>
  <si>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</si>
  <si>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</si>
  <si>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</si>
  <si>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</si>
  <si>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</si>
  <si>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</si>
  <si>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</si>
  <si>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</si>
  <si>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</si>
  <si>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</si>
  <si>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</si>
  <si>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</si>
  <si>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</si>
  <si>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</si>
  <si>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</si>
  <si>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</si>
  <si>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</si>
  <si>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</si>
  <si>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</si>
  <si>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</si>
  <si>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</si>
  <si>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</si>
  <si>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</si>
  <si>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</si>
  <si>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</si>
  <si>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</si>
  <si>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</si>
  <si>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</si>
  <si>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</si>
  <si>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</si>
  <si>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</si>
  <si>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</si>
  <si>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</si>
  <si>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</si>
  <si>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</si>
  <si>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</si>
  <si>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</si>
  <si>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</si>
  <si>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</si>
  <si>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</si>
  <si>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</si>
  <si>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</si>
  <si>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</si>
  <si>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</si>
  <si>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</si>
  <si>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</si>
  <si>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</si>
  <si>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</si>
  <si>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</si>
  <si>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</si>
  <si>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</si>
  <si>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</si>
  <si>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</si>
  <si>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</si>
  <si>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</si>
  <si>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</si>
  <si>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</si>
  <si>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</si>
  <si>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</si>
  <si>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</si>
  <si>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</si>
  <si>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</si>
  <si>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</si>
  <si>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</si>
  <si>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</si>
  <si>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</si>
  <si>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</si>
  <si>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</si>
  <si>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</si>
  <si>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</si>
  <si>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</si>
  <si>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</si>
  <si>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</si>
  <si>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</si>
  <si>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</si>
  <si>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</si>
  <si>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</si>
  <si>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</si>
  <si>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</si>
  <si>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</si>
  <si>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</si>
  <si>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</si>
  <si>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</si>
  <si>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</si>
  <si>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</si>
  <si>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</si>
  <si>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</si>
  <si>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</si>
  <si>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</si>
  <si>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</si>
  <si>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</si>
  <si>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</si>
  <si>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</si>
  <si>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</si>
  <si>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</si>
  <si>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</si>
  <si>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</si>
  <si>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</si>
  <si>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</si>
  <si>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</si>
  <si>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</si>
  <si>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</si>
  <si>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</si>
  <si>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</si>
  <si>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</si>
  <si>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</si>
  <si>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</si>
  <si>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</si>
  <si>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</si>
  <si>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</si>
  <si>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</si>
  <si>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</si>
  <si>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</si>
  <si>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</si>
  <si>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</si>
  <si>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</si>
  <si>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</si>
  <si>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</si>
  <si>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</si>
  <si>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</si>
  <si>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</si>
  <si>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</si>
  <si>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</si>
  <si>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</si>
  <si>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</si>
  <si>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</si>
  <si>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</si>
  <si>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</si>
  <si>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</si>
  <si>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</si>
  <si>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</si>
  <si>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</si>
  <si>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</si>
  <si>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</si>
  <si>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</si>
  <si>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</si>
  <si>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</si>
  <si>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</si>
  <si>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</si>
  <si>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</si>
  <si>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</si>
  <si>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</si>
  <si>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</si>
  <si>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</si>
  <si>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</si>
  <si>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</si>
  <si>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</si>
  <si>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</si>
  <si>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</si>
  <si>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</si>
  <si>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</si>
  <si>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</si>
  <si>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</si>
  <si>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</si>
  <si>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</si>
  <si>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</si>
  <si>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</si>
  <si>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</si>
  <si>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</si>
  <si>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</si>
  <si>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</si>
  <si>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</si>
  <si>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</si>
  <si>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</si>
  <si>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</si>
  <si>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</si>
  <si>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</si>
  <si>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</si>
  <si>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</si>
  <si>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</si>
  <si>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</si>
  <si>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</si>
  <si>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</si>
  <si>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</si>
  <si>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</si>
  <si>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</si>
  <si>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</si>
  <si>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</si>
  <si>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</si>
  <si>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</si>
  <si>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</si>
  <si>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</si>
  <si>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</si>
  <si>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</si>
  <si>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</si>
  <si>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</si>
  <si>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</si>
  <si>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</si>
  <si>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</si>
  <si>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</si>
  <si>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</si>
  <si>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</si>
  <si>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</si>
  <si>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</si>
  <si>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</si>
  <si>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</si>
  <si>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</si>
  <si>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</si>
  <si>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</si>
  <si>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</si>
  <si>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</si>
  <si>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</si>
  <si>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</si>
  <si>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</si>
  <si>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</si>
  <si>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</si>
  <si>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</si>
  <si>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</si>
  <si>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</si>
  <si>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</si>
  <si>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</si>
  <si>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</si>
  <si>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</si>
  <si>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</si>
  <si>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</si>
  <si>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</si>
  <si>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</si>
  <si>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</si>
  <si>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</si>
  <si>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</si>
  <si>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</si>
  <si>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</si>
  <si>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</si>
  <si>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</si>
  <si>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</si>
  <si>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</si>
  <si>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</si>
  <si>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</si>
  <si>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</si>
  <si>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</si>
  <si>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</si>
  <si>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</si>
  <si>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</si>
  <si>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</si>
  <si>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</si>
  <si>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</si>
  <si>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</si>
  <si>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</si>
  <si>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</si>
  <si>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</si>
  <si>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</si>
  <si>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</si>
  <si>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</si>
  <si>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</si>
  <si>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</si>
  <si>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</si>
  <si>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</si>
  <si>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</si>
  <si>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</si>
  <si>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</si>
  <si>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</si>
  <si>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</si>
  <si>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</si>
  <si>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</si>
  <si>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</si>
  <si>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</si>
  <si>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</si>
  <si>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</si>
  <si>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</si>
  <si>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</si>
  <si>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</si>
  <si>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</si>
  <si>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</si>
  <si>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</si>
  <si>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</si>
  <si>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</si>
  <si>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</si>
  <si>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</si>
  <si>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</si>
  <si>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</si>
  <si>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</si>
  <si>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</si>
  <si>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</si>
  <si>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</si>
  <si>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</si>
  <si>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</si>
  <si>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</si>
  <si>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</si>
  <si>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</si>
  <si>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</si>
  <si>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</si>
  <si>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</si>
  <si>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</si>
  <si>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</si>
  <si>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</si>
  <si>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</si>
  <si>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</si>
  <si>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</si>
  <si>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</si>
  <si>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</si>
  <si>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</si>
  <si>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</si>
  <si>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</si>
  <si>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</si>
  <si>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</si>
  <si>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</si>
  <si>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</si>
  <si>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</si>
  <si>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</si>
  <si>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</si>
  <si>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</si>
  <si>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</si>
  <si>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</si>
  <si>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</si>
  <si>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</si>
  <si>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</si>
  <si>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</si>
  <si>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</si>
  <si>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</si>
  <si>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</si>
  <si>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</si>
  <si>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</si>
  <si>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</si>
  <si>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</si>
  <si>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</si>
  <si>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</si>
  <si>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</si>
  <si>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</si>
  <si>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</si>
  <si>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</si>
  <si>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</si>
  <si>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</si>
  <si>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</si>
  <si>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</si>
  <si>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</si>
  <si>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</si>
  <si>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</si>
  <si>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</si>
  <si>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</si>
  <si>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</si>
  <si>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</si>
  <si>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</si>
  <si>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</si>
  <si>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</si>
  <si>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</si>
  <si>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</si>
  <si>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</si>
  <si>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</si>
  <si>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</si>
  <si>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</si>
  <si>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</si>
  <si>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</si>
  <si>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</si>
  <si>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</si>
  <si>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</si>
  <si>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</si>
  <si>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</si>
  <si>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</si>
  <si>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</si>
  <si>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</si>
  <si>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</si>
  <si>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</si>
  <si>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</si>
  <si>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</si>
  <si>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</si>
  <si>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</si>
  <si>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</si>
  <si>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</si>
  <si>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</si>
  <si>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</si>
  <si>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</si>
  <si>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</si>
  <si>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</si>
  <si>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</si>
  <si>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</si>
  <si>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</si>
  <si>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</si>
  <si>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</si>
  <si>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</si>
  <si>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</si>
  <si>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</si>
  <si>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</si>
  <si>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</si>
  <si>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</si>
  <si>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</si>
  <si>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</si>
  <si>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</si>
  <si>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</si>
  <si>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</si>
  <si>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</si>
  <si>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</si>
  <si>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</si>
  <si>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</si>
  <si>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</si>
  <si>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</si>
  <si>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</si>
  <si>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</si>
  <si>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</si>
  <si>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</si>
  <si>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</si>
  <si>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</si>
  <si>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</si>
  <si>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</si>
  <si>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</si>
  <si>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</si>
  <si>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</si>
  <si>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</si>
  <si>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</si>
  <si>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</si>
  <si>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</si>
  <si>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</si>
  <si>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</si>
  <si>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</si>
  <si>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</si>
  <si>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</si>
  <si>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</si>
  <si>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</si>
  <si>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</si>
  <si>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</si>
  <si>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</si>
  <si>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</si>
  <si>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</si>
  <si>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</si>
  <si>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</si>
  <si>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</si>
  <si>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</si>
  <si>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</si>
  <si>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</si>
  <si>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</si>
  <si>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</si>
  <si>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</si>
  <si>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</si>
  <si>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</si>
  <si>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</si>
  <si>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</si>
  <si>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</si>
  <si>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</si>
  <si>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</si>
  <si>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</si>
  <si>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</si>
  <si>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</si>
  <si>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</si>
  <si>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</si>
  <si>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</si>
  <si>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</si>
  <si>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</si>
  <si>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</si>
  <si>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</si>
  <si>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</si>
  <si>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</si>
  <si>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</si>
  <si>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</si>
  <si>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</si>
  <si>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</si>
  <si>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</si>
  <si>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</si>
  <si>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</si>
  <si>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</si>
  <si>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</si>
  <si>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</si>
  <si>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</si>
  <si>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</si>
  <si>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</si>
  <si>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</si>
  <si>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</si>
  <si>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</si>
  <si>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</si>
  <si>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</si>
  <si>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</si>
  <si>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</si>
  <si>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</si>
  <si>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</si>
  <si>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</si>
  <si>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</si>
  <si>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</si>
  <si>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</si>
  <si>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</si>
  <si>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</si>
  <si>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</si>
  <si>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</si>
  <si>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</si>
  <si>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</si>
  <si>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</si>
  <si>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</si>
  <si>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</si>
  <si>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</si>
  <si>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</si>
  <si>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</si>
  <si>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</si>
  <si>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</si>
  <si>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</si>
  <si>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</si>
  <si>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</si>
  <si>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</si>
  <si>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</si>
  <si>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</si>
  <si>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</si>
  <si>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</si>
  <si>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</si>
  <si>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</si>
  <si>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</si>
  <si>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</si>
  <si>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</si>
  <si>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</si>
  <si>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</si>
  <si>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</si>
  <si>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</si>
  <si>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</si>
  <si>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</si>
  <si>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</si>
  <si>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</si>
  <si>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</si>
  <si>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</si>
  <si>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</si>
  <si>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</si>
  <si>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</si>
  <si>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</si>
  <si>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</si>
  <si>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</si>
  <si>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</si>
  <si>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</si>
  <si>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</si>
  <si>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</si>
  <si>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</si>
  <si>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</si>
  <si>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</si>
  <si>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</si>
  <si>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</si>
  <si>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</si>
  <si>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</si>
  <si>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</si>
  <si>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</si>
  <si>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</si>
  <si>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</si>
  <si>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</si>
  <si>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</si>
  <si>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</si>
  <si>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</si>
  <si>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</si>
  <si>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</si>
  <si>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</si>
  <si>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</si>
  <si>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</si>
  <si>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</si>
  <si>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</si>
  <si>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</si>
  <si>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</si>
  <si>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</si>
  <si>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</si>
  <si>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</si>
  <si>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</si>
  <si>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</si>
  <si>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</si>
  <si>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</si>
  <si>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</si>
  <si>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</si>
  <si>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</si>
  <si>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</si>
  <si>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</si>
  <si>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</si>
  <si>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</si>
  <si>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</si>
  <si>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</si>
  <si>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</si>
  <si>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</si>
  <si>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</si>
  <si>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</si>
  <si>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</si>
  <si>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</si>
  <si>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</si>
  <si>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</si>
  <si>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</si>
  <si>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</si>
  <si>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</si>
  <si>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</si>
  <si>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</si>
  <si>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</si>
  <si>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</si>
  <si>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</si>
  <si>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</si>
  <si>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</si>
  <si>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</si>
  <si>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</si>
  <si>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</si>
  <si>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</si>
  <si>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</si>
  <si>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</si>
  <si>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</si>
  <si>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</si>
  <si>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</si>
  <si>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</si>
  <si>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</si>
  <si>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</si>
  <si>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</si>
  <si>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</si>
  <si>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</si>
  <si>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</si>
  <si>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</si>
  <si>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</si>
  <si>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</si>
  <si>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</si>
  <si>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</si>
  <si>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</si>
  <si>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</si>
  <si>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</si>
  <si>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</si>
  <si>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</si>
  <si>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</si>
  <si>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</si>
  <si>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</si>
  <si>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</si>
  <si>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</si>
  <si>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</si>
  <si>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</si>
  <si>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</si>
  <si>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</si>
  <si>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</si>
  <si>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</si>
  <si>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</si>
  <si>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</si>
  <si>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</si>
  <si>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</si>
  <si>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</si>
  <si>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</si>
  <si>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</si>
  <si>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</si>
  <si>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</si>
  <si>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</si>
  <si>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</si>
  <si>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</si>
  <si>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</si>
  <si>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</si>
  <si>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</si>
  <si>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</si>
  <si>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</si>
  <si>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</si>
  <si>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</si>
  <si>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</si>
  <si>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</si>
  <si>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</si>
  <si>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</si>
  <si>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</si>
  <si>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</si>
  <si>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</si>
  <si>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</si>
  <si>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</si>
  <si>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</si>
  <si>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</si>
  <si>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</si>
  <si>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</si>
  <si>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</si>
  <si>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</si>
  <si>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</si>
  <si>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</si>
  <si>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</si>
  <si>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</si>
  <si>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</si>
  <si>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</si>
  <si>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</si>
  <si>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</si>
  <si>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</si>
  <si>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</si>
  <si>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</si>
  <si>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</si>
  <si>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</si>
  <si>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</si>
  <si>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</si>
  <si>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</si>
  <si>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</si>
  <si>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</si>
  <si>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</si>
  <si>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</si>
  <si>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</si>
  <si>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</si>
  <si>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</si>
  <si>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</si>
  <si>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</si>
  <si>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</si>
  <si>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</si>
  <si>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</si>
  <si>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</si>
  <si>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</si>
  <si>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</si>
  <si>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</si>
  <si>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</si>
  <si>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</si>
  <si>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</si>
  <si>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</si>
  <si>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</si>
  <si>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</si>
  <si>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</si>
  <si>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</si>
  <si>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</si>
  <si>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</si>
  <si>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</si>
  <si>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</si>
  <si>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</si>
  <si>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</si>
  <si>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</si>
  <si>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</si>
  <si>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</si>
  <si>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</si>
  <si>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</si>
  <si>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</si>
  <si>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</si>
  <si>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</si>
  <si>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</si>
  <si>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</si>
  <si>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</si>
  <si>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</si>
  <si>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</si>
  <si>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</si>
  <si>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</si>
  <si>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</si>
  <si>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</si>
  <si>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</si>
  <si>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</si>
  <si>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</si>
  <si>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</si>
  <si>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</si>
  <si>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</si>
  <si>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</si>
  <si>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</si>
  <si>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</si>
  <si>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</si>
  <si>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</si>
  <si>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</si>
  <si>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</si>
  <si>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</si>
  <si>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</si>
  <si>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</si>
  <si>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</si>
  <si>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</si>
  <si>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</si>
  <si>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</si>
  <si>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</si>
  <si>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</si>
  <si>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</si>
  <si>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</si>
  <si>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</si>
  <si>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</si>
  <si>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</si>
  <si>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</si>
  <si>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</si>
  <si>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</si>
  <si>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</si>
  <si>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</si>
  <si>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</si>
  <si>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</si>
  <si>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</si>
  <si>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</si>
  <si>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</si>
  <si>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</si>
  <si>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</si>
  <si>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</si>
  <si>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</si>
  <si>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</si>
  <si>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</si>
  <si>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</si>
  <si>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</si>
  <si>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</si>
  <si>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</si>
  <si>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</si>
  <si>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</si>
  <si>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</si>
  <si>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</si>
  <si>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</si>
  <si>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</si>
  <si>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</si>
  <si>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</si>
  <si>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</si>
  <si>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</si>
  <si>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</si>
  <si>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</si>
  <si>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</si>
  <si>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</si>
  <si>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</si>
  <si>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</si>
  <si>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</si>
  <si>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</si>
  <si>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</si>
  <si>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</si>
  <si>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</si>
  <si>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</si>
  <si>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</si>
  <si>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</si>
  <si>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</si>
  <si>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</si>
  <si>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</si>
  <si>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</si>
  <si>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</si>
  <si>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</si>
  <si>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</si>
  <si>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</si>
  <si>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</si>
  <si>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</si>
  <si>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</si>
  <si>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</si>
  <si>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</si>
  <si>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</si>
  <si>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</si>
  <si>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</si>
  <si>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</si>
  <si>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</si>
  <si>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</si>
  <si>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</si>
  <si>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</si>
  <si>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</si>
  <si>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</si>
  <si>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</si>
  <si>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</si>
  <si>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</si>
  <si>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</si>
  <si>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</si>
  <si>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</si>
  <si>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</si>
  <si>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</si>
  <si>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</si>
  <si>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</si>
  <si>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</si>
  <si>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</si>
  <si>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</si>
  <si>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</si>
  <si>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</si>
  <si>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</si>
  <si>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</si>
  <si>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</si>
  <si>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</si>
  <si>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</si>
  <si>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</si>
  <si>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</si>
  <si>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</si>
  <si>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</si>
  <si>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</si>
  <si>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</si>
  <si>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</si>
  <si>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</si>
  <si>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</si>
  <si>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</si>
  <si>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</si>
  <si>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</si>
  <si>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</si>
  <si>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</si>
  <si>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</si>
  <si>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</si>
  <si>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</si>
  <si>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</si>
  <si>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</si>
  <si>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</si>
  <si>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</si>
  <si>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</si>
  <si>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</si>
  <si>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</si>
  <si>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</si>
  <si>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</si>
  <si>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</si>
  <si>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</si>
  <si>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</si>
  <si>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</si>
  <si>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</si>
  <si>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</si>
  <si>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</si>
  <si>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</si>
  <si>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</si>
  <si>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</si>
  <si>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</si>
  <si>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</si>
  <si>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</si>
  <si>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</si>
  <si>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</si>
  <si>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</si>
  <si>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</si>
  <si>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</si>
  <si>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</si>
  <si>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</si>
  <si>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</si>
  <si>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</si>
  <si>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</si>
  <si>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</si>
  <si>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</si>
  <si>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</si>
  <si>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</si>
  <si>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</si>
  <si>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</si>
  <si>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</si>
  <si>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</si>
  <si>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</si>
  <si>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</si>
  <si>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</si>
  <si>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</si>
  <si>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</si>
  <si>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</si>
  <si>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</si>
  <si>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</si>
  <si>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</si>
  <si>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</si>
  <si>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</si>
  <si>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</si>
  <si>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</si>
  <si>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</si>
  <si>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</si>
  <si>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</si>
  <si>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</si>
  <si>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</si>
  <si>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</si>
  <si>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</si>
  <si>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</si>
  <si>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</si>
  <si>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</si>
  <si>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</si>
  <si>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</si>
  <si>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</si>
  <si>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</si>
  <si>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</si>
  <si>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</si>
  <si>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</si>
  <si>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</si>
  <si>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</si>
  <si>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</si>
  <si>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</si>
  <si>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</si>
  <si>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</si>
  <si>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</si>
  <si>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</si>
  <si>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</si>
  <si>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</si>
  <si>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</si>
  <si>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</si>
  <si>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</si>
  <si>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</si>
  <si>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</si>
  <si>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</si>
  <si>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</si>
  <si>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</si>
  <si>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</si>
  <si>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</si>
  <si>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</si>
  <si>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</si>
  <si>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</si>
  <si>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</si>
  <si>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</si>
  <si>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</si>
  <si>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</si>
  <si>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</si>
  <si>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</si>
  <si>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</si>
  <si>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</si>
  <si>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</si>
  <si>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</si>
  <si>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</si>
  <si>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</si>
  <si>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</si>
  <si>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</si>
  <si>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</si>
  <si>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</si>
  <si>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</si>
  <si>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</si>
  <si>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</si>
  <si>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</si>
  <si>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</si>
  <si>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</si>
  <si>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</si>
  <si>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</si>
  <si>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</si>
  <si>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</si>
  <si>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</si>
  <si>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</si>
  <si>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</si>
  <si>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</si>
  <si>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</si>
  <si>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</si>
  <si>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</si>
  <si>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</si>
  <si>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</si>
  <si>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</si>
  <si>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</si>
  <si>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</si>
  <si>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</si>
  <si>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</si>
  <si>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</si>
  <si>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</si>
  <si>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</si>
  <si>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</si>
  <si>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</si>
  <si>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</si>
  <si>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</si>
  <si>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</si>
  <si>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</si>
  <si>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</si>
  <si>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</si>
  <si>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</si>
  <si>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</si>
  <si>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</si>
  <si>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</si>
  <si>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</si>
  <si>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</si>
  <si>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</si>
  <si>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</si>
  <si>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</si>
  <si>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</si>
  <si>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</si>
  <si>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</si>
  <si>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</si>
  <si>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</si>
  <si>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</si>
  <si>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</si>
  <si>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</si>
  <si>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</si>
  <si>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</si>
  <si>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</si>
  <si>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</si>
  <si>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</si>
  <si>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</si>
  <si>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</si>
  <si>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</si>
  <si>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</si>
  <si>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</si>
  <si>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</si>
  <si>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</si>
  <si>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</si>
  <si>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</si>
  <si>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</si>
  <si>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</si>
  <si>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</si>
  <si>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</si>
  <si>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</si>
  <si>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</si>
  <si>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</si>
  <si>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</si>
  <si>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</si>
  <si>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</si>
  <si>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</si>
  <si>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</si>
  <si>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</si>
  <si>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</si>
  <si>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</si>
  <si>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</si>
  <si>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</si>
  <si>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</si>
  <si>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</si>
  <si>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</si>
  <si>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</si>
  <si>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</si>
  <si>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</si>
  <si>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</si>
  <si>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</si>
  <si>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</si>
  <si>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</si>
  <si>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</si>
  <si>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</si>
  <si>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</si>
  <si>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</si>
  <si>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</si>
  <si>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</si>
  <si>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</si>
  <si>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</si>
  <si>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</si>
  <si>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</si>
  <si>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</si>
  <si>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</si>
  <si>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</si>
  <si>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</si>
  <si>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</si>
  <si>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</si>
  <si>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</si>
  <si>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</si>
  <si>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</si>
  <si>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</si>
  <si>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</si>
  <si>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</si>
  <si>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</si>
  <si>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</si>
  <si>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</si>
  <si>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</si>
  <si>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</si>
  <si>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</si>
  <si>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</si>
  <si>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</si>
  <si>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</si>
  <si>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</si>
  <si>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</si>
  <si>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</si>
  <si>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</si>
  <si>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</si>
  <si>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</si>
  <si>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</si>
  <si>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</si>
  <si>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</si>
  <si>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</si>
  <si>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</si>
  <si>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</si>
  <si>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</si>
  <si>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</si>
  <si>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</si>
  <si>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</si>
  <si>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</si>
  <si>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</si>
  <si>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</si>
  <si>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</si>
  <si>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</si>
  <si>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</si>
  <si>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</si>
  <si>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</si>
  <si>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</si>
  <si>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</si>
  <si>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</si>
  <si>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</si>
  <si>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</si>
  <si>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</si>
  <si>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</si>
  <si>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</si>
  <si>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</si>
  <si>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</si>
  <si>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</si>
  <si>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</si>
  <si>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</si>
  <si>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</si>
  <si>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</si>
  <si>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</si>
  <si>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</si>
  <si>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</si>
  <si>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</si>
  <si>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</si>
  <si>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</si>
  <si>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</si>
  <si>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</si>
  <si>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</si>
  <si>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</si>
  <si>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</si>
  <si>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</si>
  <si>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</si>
  <si>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</si>
  <si>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</si>
  <si>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</si>
  <si>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</si>
  <si>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</si>
  <si>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</si>
  <si>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</si>
  <si>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</si>
  <si>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</si>
  <si>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</si>
  <si>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</si>
  <si>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</si>
  <si>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</si>
  <si>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</si>
  <si>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</si>
  <si>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</si>
  <si>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</si>
  <si>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</si>
  <si>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</si>
  <si>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</si>
  <si>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</si>
  <si>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</si>
  <si>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</si>
  <si>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</si>
  <si>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</si>
  <si>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</si>
  <si>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</si>
  <si>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</si>
  <si>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</si>
  <si>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</si>
  <si>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</si>
  <si>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</si>
  <si>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</si>
  <si>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</si>
  <si>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</si>
  <si>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</si>
  <si>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</si>
  <si>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</si>
  <si>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</si>
  <si>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</si>
  <si>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</si>
  <si>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</si>
  <si>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</si>
  <si>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</si>
  <si>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</si>
  <si>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</si>
  <si>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</si>
  <si>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</si>
  <si>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</si>
  <si>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</si>
  <si>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</si>
  <si>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</si>
  <si>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</si>
  <si>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</si>
  <si>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</si>
  <si>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</si>
  <si>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</si>
  <si>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</si>
  <si>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</si>
  <si>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</si>
  <si>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</si>
  <si>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</si>
  <si>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</si>
  <si>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</si>
  <si>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</si>
  <si>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</si>
  <si>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</si>
  <si>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</si>
  <si>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</si>
  <si>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</si>
  <si>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</si>
  <si>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</si>
  <si>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</si>
  <si>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</si>
  <si>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</si>
  <si>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</si>
  <si>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</si>
  <si>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</si>
  <si>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</si>
  <si>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</si>
  <si>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</si>
  <si>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</si>
  <si>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</si>
  <si>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</si>
  <si>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</si>
  <si>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</si>
  <si>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</si>
  <si>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</si>
  <si>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</si>
  <si>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</si>
  <si>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</si>
  <si>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</si>
  <si>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</si>
  <si>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</si>
  <si>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</si>
  <si>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</si>
  <si>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</si>
  <si>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</si>
  <si>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</si>
  <si>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</si>
  <si>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</si>
  <si>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</si>
  <si>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</si>
  <si>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</si>
  <si>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</si>
  <si>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</si>
  <si>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</si>
  <si>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</si>
  <si>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</si>
  <si>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</si>
  <si>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</si>
  <si>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</si>
  <si>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</si>
  <si>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</si>
  <si>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</si>
  <si>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</si>
  <si>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</si>
  <si>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</si>
  <si>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</si>
  <si>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</si>
  <si>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</si>
  <si>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</si>
  <si>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</si>
  <si>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</si>
  <si>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</si>
  <si>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</si>
  <si>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</si>
  <si>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</si>
  <si>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</si>
  <si>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</si>
  <si>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</si>
  <si>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</si>
  <si>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</si>
  <si>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</si>
  <si>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</si>
  <si>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</si>
  <si>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</si>
  <si>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</si>
  <si>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</si>
  <si>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</si>
  <si>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</si>
  <si>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</si>
  <si>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</si>
  <si>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</si>
  <si>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</si>
  <si>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</si>
  <si>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</si>
  <si>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</si>
  <si>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</si>
  <si>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</si>
  <si>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</si>
  <si>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</si>
  <si>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</si>
  <si>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</si>
  <si>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</si>
  <si>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</si>
  <si>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</si>
  <si>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</si>
  <si>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</si>
  <si>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</si>
  <si>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</si>
  <si>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</si>
  <si>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</si>
  <si>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</si>
  <si>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</si>
  <si>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</si>
  <si>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</si>
  <si>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</si>
  <si>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</si>
  <si>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</si>
  <si>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</si>
  <si>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</si>
  <si>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</si>
  <si>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</si>
  <si>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</si>
  <si>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</si>
  <si>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</si>
  <si>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</si>
  <si>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</si>
  <si>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</si>
  <si>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</si>
  <si>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</si>
  <si>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</si>
  <si>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</si>
  <si>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</si>
  <si>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</si>
  <si>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</si>
  <si>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</si>
  <si>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</si>
  <si>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</si>
  <si>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</si>
  <si>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</si>
  <si>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</si>
  <si>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</si>
  <si>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</si>
  <si>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</si>
  <si>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</si>
  <si>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</si>
  <si>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</si>
  <si>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</si>
  <si>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</si>
  <si>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</si>
  <si>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</si>
  <si>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</si>
  <si>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</si>
  <si>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</si>
  <si>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</si>
  <si>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</si>
  <si>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</si>
  <si>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</si>
  <si>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</si>
  <si>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</si>
  <si>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</si>
  <si>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</si>
  <si>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</si>
  <si>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</si>
  <si>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</si>
  <si>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</si>
  <si>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</si>
  <si>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</si>
  <si>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</si>
  <si>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</si>
  <si>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</si>
  <si>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</si>
  <si>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</si>
  <si>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</si>
  <si>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</si>
  <si>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</si>
  <si>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</si>
  <si>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</si>
  <si>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</si>
  <si>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</si>
  <si>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</si>
  <si>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</si>
  <si>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</si>
  <si>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</si>
  <si>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</si>
  <si>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</si>
  <si>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</si>
  <si>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</si>
  <si>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</si>
  <si>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</si>
  <si>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</si>
  <si>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</si>
  <si>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</si>
  <si>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</si>
  <si>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</si>
  <si>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</si>
  <si>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</si>
  <si>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</si>
  <si>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</si>
  <si>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</si>
  <si>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</si>
  <si>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</si>
  <si>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</si>
  <si>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</si>
  <si>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</si>
  <si>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</si>
  <si>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</si>
  <si>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</si>
  <si>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</si>
  <si>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</si>
  <si>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</si>
  <si>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</si>
  <si>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</si>
  <si>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</si>
  <si>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</si>
  <si>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</si>
  <si>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</si>
  <si>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</si>
  <si>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</si>
  <si>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</si>
  <si>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</si>
  <si>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</si>
  <si>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</si>
  <si>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</si>
  <si>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</si>
  <si>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</si>
  <si>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</si>
  <si>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</si>
  <si>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</si>
  <si>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</si>
  <si>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</si>
  <si>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</si>
  <si>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</si>
  <si>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</si>
  <si>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</si>
  <si>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</si>
  <si>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</si>
  <si>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</si>
  <si>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</si>
  <si>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</si>
  <si>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</si>
  <si>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</si>
  <si>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</si>
  <si>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</si>
  <si>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</si>
  <si>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</si>
  <si>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</si>
  <si>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</si>
  <si>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</si>
  <si>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</si>
  <si>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</si>
  <si>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</si>
  <si>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</si>
  <si>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</si>
  <si>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</si>
  <si>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</si>
  <si>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</si>
  <si>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</si>
  <si>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</si>
  <si>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</si>
  <si>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</si>
  <si>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</si>
  <si>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</si>
  <si>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</si>
  <si>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</si>
  <si>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</si>
  <si>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</si>
  <si>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</si>
  <si>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</si>
  <si>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</si>
  <si>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</si>
  <si>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</si>
  <si>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</si>
  <si>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</si>
  <si>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</si>
  <si>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</si>
  <si>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</si>
  <si>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</si>
  <si>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</si>
  <si>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</si>
  <si>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</si>
  <si>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</si>
  <si>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</si>
  <si>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</si>
  <si>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</si>
  <si>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</si>
  <si>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</si>
  <si>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</si>
  <si>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</si>
  <si>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</si>
  <si>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</si>
  <si>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</si>
  <si>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</si>
  <si>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</si>
  <si>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</si>
  <si>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</si>
  <si>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</si>
  <si>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</si>
  <si>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</si>
  <si>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</si>
  <si>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</si>
  <si>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</si>
  <si>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</si>
  <si>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</si>
  <si>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</si>
  <si>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</si>
  <si>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</si>
  <si>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</si>
  <si>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</si>
  <si>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</si>
  <si>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</si>
  <si>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</si>
  <si>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</si>
  <si>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</si>
  <si>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</si>
  <si>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</si>
  <si>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</si>
  <si>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</si>
  <si>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</si>
  <si>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</si>
  <si>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</si>
  <si>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</si>
  <si>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</si>
  <si>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</si>
  <si>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</si>
  <si>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</si>
  <si>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</si>
  <si>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</si>
  <si>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</si>
  <si>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</si>
  <si>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</si>
  <si>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</si>
  <si>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</si>
  <si>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</si>
  <si>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</si>
  <si>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</si>
  <si>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</si>
  <si>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</si>
  <si>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</si>
  <si>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</si>
  <si>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</si>
  <si>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</si>
  <si>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</si>
  <si>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</si>
  <si>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</si>
  <si>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</si>
  <si>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</si>
  <si>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</si>
  <si>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</si>
  <si>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</si>
  <si>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</si>
  <si>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</si>
  <si>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</si>
  <si>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</si>
  <si>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</si>
  <si>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</si>
  <si>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</si>
  <si>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</si>
  <si>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</si>
  <si>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</si>
  <si>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</si>
  <si>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</si>
  <si>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</si>
  <si>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</si>
  <si>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</si>
  <si>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</si>
  <si>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</si>
  <si>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</si>
  <si>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</si>
  <si>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</si>
  <si>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</si>
  <si>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</si>
  <si>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</si>
  <si>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</si>
  <si>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</si>
  <si>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</si>
  <si>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</si>
  <si>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</si>
  <si>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</si>
  <si>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</si>
  <si>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</si>
  <si>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</si>
  <si>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</si>
  <si>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</si>
  <si>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</si>
  <si>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</si>
  <si>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</si>
  <si>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</si>
  <si>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</si>
  <si>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</si>
  <si>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</si>
  <si>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</si>
  <si>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</si>
  <si>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</si>
  <si>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</si>
  <si>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</si>
  <si>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</si>
  <si>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</si>
  <si>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</si>
  <si>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</si>
  <si>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</si>
  <si>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</si>
  <si>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</si>
  <si>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</si>
  <si>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</si>
  <si>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</si>
  <si>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</si>
  <si>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</si>
  <si>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</si>
  <si>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</si>
  <si>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</si>
  <si>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</si>
  <si>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</si>
  <si>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</si>
  <si>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</si>
  <si>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</si>
  <si>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</si>
  <si>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</si>
  <si>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</si>
  <si>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</si>
  <si>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</si>
  <si>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</si>
  <si>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</si>
  <si>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</si>
  <si>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</si>
  <si>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</si>
  <si>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</si>
  <si>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</si>
  <si>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</si>
  <si>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</si>
  <si>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</si>
  <si>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</si>
  <si>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</si>
  <si>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</si>
  <si>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</si>
  <si>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</si>
  <si>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</si>
  <si>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</si>
  <si>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</si>
  <si>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</si>
  <si>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</si>
  <si>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</si>
  <si>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</si>
  <si>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</si>
  <si>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</si>
  <si>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</si>
  <si>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</si>
  <si>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</si>
  <si>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</si>
  <si>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</si>
  <si>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</si>
  <si>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</si>
  <si>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</si>
  <si>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</si>
  <si>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</si>
  <si>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</si>
  <si>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</si>
  <si>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</si>
  <si>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</si>
  <si>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</si>
  <si>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</si>
  <si>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</si>
  <si>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</si>
  <si>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</si>
  <si>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</si>
  <si>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</si>
  <si>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</si>
  <si>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</si>
  <si>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</si>
  <si>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</si>
  <si>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</si>
  <si>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</si>
  <si>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</si>
  <si>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</si>
  <si>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</si>
  <si>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</si>
  <si>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</si>
  <si>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</si>
  <si>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</si>
  <si>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</si>
  <si>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</si>
  <si>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</si>
  <si>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</si>
  <si>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</si>
  <si>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</si>
  <si>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</si>
  <si>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</si>
  <si>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</si>
  <si>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</si>
  <si>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</si>
  <si>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</si>
  <si>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</si>
  <si>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</si>
  <si>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</si>
  <si>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</si>
  <si>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</si>
  <si>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</si>
  <si>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</si>
  <si>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</si>
  <si>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</si>
  <si>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</si>
  <si>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</si>
  <si>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</si>
  <si>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</si>
  <si>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</si>
  <si>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</si>
  <si>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</si>
  <si>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</si>
  <si>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</si>
  <si>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</si>
  <si>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</si>
  <si>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</si>
  <si>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</si>
  <si>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</si>
  <si>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</si>
  <si>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</si>
  <si>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 xml:space="preserve">Total Customer Base </t>
  </si>
  <si>
    <t>Active Customer Base</t>
  </si>
  <si>
    <t>Customer Churn Rate</t>
  </si>
  <si>
    <t>Customer Churn Business Dashboard</t>
  </si>
  <si>
    <t>KPI Name</t>
  </si>
  <si>
    <t>Values</t>
  </si>
  <si>
    <t>Revenue Lost</t>
  </si>
  <si>
    <t>High Risk Customer Segments</t>
  </si>
  <si>
    <t>Segment</t>
  </si>
  <si>
    <t xml:space="preserve"> Month-to-Month</t>
  </si>
  <si>
    <t>Fiber Optic Users</t>
  </si>
  <si>
    <t>Senior Citizens</t>
  </si>
  <si>
    <t>Electronic Payment</t>
  </si>
  <si>
    <t>Churn Rate</t>
  </si>
  <si>
    <t>Churned Customers</t>
  </si>
  <si>
    <t xml:space="preserve">   MonthlyRevenue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</si>
</sst>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33" borderId="0" xfId="0" applyFont="1" applyFill="1" applyAlignment="1">
      <alignment horizontal="center"/>
    </xf>
    <xf numFmtId="0" fontId="18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18" fillId="37" borderId="10" xfId="0" applyFont="1" applyFill="1" applyBorder="1" applyAlignment="1">
      <alignment horizontal="center"/>
    </xf>
    <xf numFmtId="0" fontId="18" fillId="37" borderId="11" xfId="0" applyFont="1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0" fontId="0" fillId="38" borderId="11" xfId="0" applyFill="1" applyBorder="1" applyAlignment="1">
      <alignment horizontal="center"/>
    </xf>
    <xf numFmtId="9" fontId="0" fillId="38" borderId="10" xfId="0" applyNumberFormat="1" applyFill="1" applyBorder="1" applyAlignment="1">
      <alignment horizontal="center"/>
    </xf>
    <xf numFmtId="9" fontId="0" fillId="38" borderId="11" xfId="0" applyNumberFormat="1" applyFill="1" applyBorder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18" fillId="35" borderId="12" xfId="0" applyFont="1" applyFill="1" applyBorder="1" applyAlignment="1">
      <alignment horizontal="center"/>
    </xf>
    <xf numFmtId="10" fontId="19" fillId="34" borderId="12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Customer Churn Dashboard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09-4426-A7AF-D8622EA9B7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09-4426-A7AF-D8622EA9B741}"/>
              </c:ext>
            </c:extLst>
          </c:dPt>
          <c:cat>
            <c:strRef>
              <c:f>'KPI Calculations'!$B$4:$B$5</c:f>
              <c:strCache>
                <c:ptCount val="2"/>
                <c:pt idx="0">
                  <c:v>Total Customer Base </c:v>
                </c:pt>
                <c:pt idx="1">
                  <c:v>Churned Customers</c:v>
                </c:pt>
              </c:strCache>
            </c:strRef>
          </c:cat>
          <c:val>
            <c:numRef>
              <c:f>'KPI Calculations'!$C$4:$C$5</c:f>
              <c:numCache>
                <c:formatCode>General</c:formatCode>
                <c:ptCount val="2"/>
                <c:pt idx="0">
                  <c:v>7043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D3-B649-9CF8-944B0F207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Customer Churn Overview</a:t>
            </a:r>
            <a:endParaRPr lang="en-US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3799861379295276"/>
          <c:y val="1.3312034078807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Calculations'!$B$4:$B$6</c:f>
              <c:strCache>
                <c:ptCount val="3"/>
                <c:pt idx="0">
                  <c:v>Total Customer Base </c:v>
                </c:pt>
                <c:pt idx="1">
                  <c:v>Churned Customers</c:v>
                </c:pt>
                <c:pt idx="2">
                  <c:v>Active Customer Base</c:v>
                </c:pt>
              </c:strCache>
            </c:strRef>
          </c:cat>
          <c:val>
            <c:numRef>
              <c:f>'KPI Calculations'!$C$4:$C$6</c:f>
              <c:numCache>
                <c:formatCode>General</c:formatCode>
                <c:ptCount val="3"/>
                <c:pt idx="0">
                  <c:v>7043</c:v>
                </c:pt>
                <c:pt idx="1">
                  <c:v>1869</c:v>
                </c:pt>
                <c:pt idx="2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07-C644-974A-8339AADBD1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032719"/>
        <c:axId val="1710930127"/>
      </c:barChart>
      <c:catAx>
        <c:axId val="1711032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930127"/>
        <c:crosses val="autoZero"/>
        <c:auto val="1"/>
        <c:lblAlgn val="ctr"/>
        <c:lblOffset val="100"/>
        <c:noMultiLvlLbl val="0"/>
      </c:catAx>
      <c:valAx>
        <c:axId val="17109301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03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High</a:t>
            </a:r>
            <a:r>
              <a:rPr lang="en-IN" b="1" baseline="0">
                <a:solidFill>
                  <a:schemeClr val="tx1"/>
                </a:solidFill>
              </a:rPr>
              <a:t> Risk Customer Segments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82935315651332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3772090988626421"/>
          <c:y val="0.15319444444444447"/>
          <c:w val="0.71590419947506556"/>
          <c:h val="0.6612806211723534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Calculations'!$J$6:$J$10</c:f>
              <c:strCache>
                <c:ptCount val="5"/>
                <c:pt idx="0">
                  <c:v>Segment</c:v>
                </c:pt>
                <c:pt idx="1">
                  <c:v> Month-to-Month</c:v>
                </c:pt>
                <c:pt idx="2">
                  <c:v>Fiber Optic Users</c:v>
                </c:pt>
                <c:pt idx="3">
                  <c:v>Senior Citizens</c:v>
                </c:pt>
                <c:pt idx="4">
                  <c:v>Electronic Payment</c:v>
                </c:pt>
              </c:strCache>
            </c:strRef>
          </c:cat>
          <c:val>
            <c:numRef>
              <c:f>'KPI Calculations'!$K$6:$K$10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22DD-478D-A332-3B7B72E0B0C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Calculations'!$J$6:$J$10</c:f>
              <c:strCache>
                <c:ptCount val="5"/>
                <c:pt idx="0">
                  <c:v>Segment</c:v>
                </c:pt>
                <c:pt idx="1">
                  <c:v> Month-to-Month</c:v>
                </c:pt>
                <c:pt idx="2">
                  <c:v>Fiber Optic Users</c:v>
                </c:pt>
                <c:pt idx="3">
                  <c:v>Senior Citizens</c:v>
                </c:pt>
                <c:pt idx="4">
                  <c:v>Electronic Payment</c:v>
                </c:pt>
              </c:strCache>
            </c:strRef>
          </c:cat>
          <c:val>
            <c:numRef>
              <c:f>'KPI Calculations'!$L$6:$L$10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0.46</c:v>
                </c:pt>
                <c:pt idx="2">
                  <c:v>0.42</c:v>
                </c:pt>
                <c:pt idx="3">
                  <c:v>0.41</c:v>
                </c:pt>
                <c:pt idx="4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D-478D-A332-3B7B72E0B0C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Calculations'!$J$6:$J$10</c:f>
              <c:strCache>
                <c:ptCount val="5"/>
                <c:pt idx="0">
                  <c:v>Segment</c:v>
                </c:pt>
                <c:pt idx="1">
                  <c:v> Month-to-Month</c:v>
                </c:pt>
                <c:pt idx="2">
                  <c:v>Fiber Optic Users</c:v>
                </c:pt>
                <c:pt idx="3">
                  <c:v>Senior Citizens</c:v>
                </c:pt>
                <c:pt idx="4">
                  <c:v>Electronic Payment</c:v>
                </c:pt>
              </c:strCache>
            </c:strRef>
          </c:cat>
          <c:val>
            <c:numRef>
              <c:f>'KPI Calculations'!$M$6:$M$10</c:f>
              <c:numCache>
                <c:formatCode>0%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22DD-478D-A332-3B7B72E0B0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5854720"/>
        <c:axId val="915853760"/>
      </c:barChart>
      <c:catAx>
        <c:axId val="915854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853760"/>
        <c:crosses val="autoZero"/>
        <c:auto val="1"/>
        <c:lblAlgn val="ctr"/>
        <c:lblOffset val="100"/>
        <c:noMultiLvlLbl val="0"/>
      </c:catAx>
      <c:valAx>
        <c:axId val="91585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8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10</xdr:row>
      <xdr:rowOff>73152</xdr:rowOff>
    </xdr:from>
    <xdr:to>
      <xdr:col>7</xdr:col>
      <xdr:colOff>15240</xdr:colOff>
      <xdr:row>26</xdr:row>
      <xdr:rowOff>32512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36ED25-CB0E-A168-2B5C-3E39483F7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586741</xdr:colOff>
      <xdr:row>28</xdr:row>
      <xdr:rowOff>7621</xdr:rowOff>
    </xdr:from>
    <xdr:to>
      <xdr:col>7</xdr:col>
      <xdr:colOff>388621</xdr:colOff>
      <xdr:row>54</xdr:row>
      <xdr:rowOff>22861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BD293F-04B0-7D9B-4941-2B744B69C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556260</xdr:colOff>
      <xdr:row>12</xdr:row>
      <xdr:rowOff>7620</xdr:rowOff>
    </xdr:from>
    <xdr:to>
      <xdr:col>15</xdr:col>
      <xdr:colOff>312420</xdr:colOff>
      <xdr:row>27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5F3252-B09E-1FE4-14FC-C7A22768C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413A-1C1F-4E01-8450-E401B22618FC}">
  <dimension ref="A1:U7044"/>
  <sheetViews>
    <sheetView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94E5-C31E-D241-BD8F-0B4A54A67DCB}">
  <dimension ref="B1:M10"/>
  <sheetViews>
    <sheetView tabSelected="1" zoomScaleNormal="60" zoomScaleSheetLayoutView="100" workbookViewId="0">
      <selection activeCell="H11" sqref="H11"/>
    </sheetView>
  </sheetViews>
  <sheetFormatPr defaultRowHeight="14.4" x14ac:dyDescent="0.3"/>
  <cols>
    <col min="2" max="2" width="20.44140625" customWidth="1"/>
    <col min="3" max="3" width="25.5546875" customWidth="1"/>
  </cols>
  <sheetData>
    <row r="1" spans="2:13" ht="18" x14ac:dyDescent="0.35">
      <c r="B1" s="1" t="s">
        <v>7083</v>
      </c>
      <c r="C1" s="1"/>
    </row>
    <row r="3" spans="2:13" ht="18" x14ac:dyDescent="0.35">
      <c r="B3" s="11" t="s">
        <v>7084</v>
      </c>
      <c r="C3" s="11" t="s">
        <v>7085</v>
      </c>
    </row>
    <row r="4" spans="2:13" ht="18" x14ac:dyDescent="0.35">
      <c r="B4" s="10" t="s">
        <v>7080</v>
      </c>
      <c r="C4" s="10">
        <f>COUNTA('Raw Data'!A:A)-1</f>
        <v>7043</v>
      </c>
      <c r="J4" s="2" t="s">
        <v>7087</v>
      </c>
      <c r="K4" s="3"/>
      <c r="L4" s="3"/>
      <c r="M4" s="3"/>
    </row>
    <row r="5" spans="2:13" ht="15.6" x14ac:dyDescent="0.3">
      <c r="B5" s="10" t="s">
        <v>7094</v>
      </c>
      <c r="C5" s="10">
        <f>COUNTIF('Raw Data'!U:U,"Yes")</f>
        <v>1869</v>
      </c>
    </row>
    <row r="6" spans="2:13" ht="18" x14ac:dyDescent="0.35">
      <c r="B6" s="10" t="s">
        <v>7081</v>
      </c>
      <c r="C6" s="10">
        <f>C4-C5</f>
        <v>5174</v>
      </c>
      <c r="J6" s="4" t="s">
        <v>7088</v>
      </c>
      <c r="K6" s="5"/>
      <c r="L6" s="4" t="s">
        <v>7093</v>
      </c>
      <c r="M6" s="5"/>
    </row>
    <row r="7" spans="2:13" ht="15.6" x14ac:dyDescent="0.3">
      <c r="B7" s="10" t="s">
        <v>7082</v>
      </c>
      <c r="C7" s="12">
        <v>0.26529999999999998</v>
      </c>
      <c r="J7" s="6" t="s">
        <v>7089</v>
      </c>
      <c r="K7" s="7"/>
      <c r="L7" s="8">
        <v>0.46</v>
      </c>
      <c r="M7" s="9"/>
    </row>
    <row r="8" spans="2:13" ht="15.6" x14ac:dyDescent="0.3">
      <c r="B8" s="10" t="s">
        <v>7095</v>
      </c>
      <c r="C8" s="10">
        <v>2283.3000000000002</v>
      </c>
      <c r="J8" s="6" t="s">
        <v>7090</v>
      </c>
      <c r="K8" s="7"/>
      <c r="L8" s="8">
        <v>0.42</v>
      </c>
      <c r="M8" s="9"/>
    </row>
    <row r="9" spans="2:13" ht="15.6" x14ac:dyDescent="0.3">
      <c r="B9" s="10" t="s">
        <v>7086</v>
      </c>
      <c r="C9" s="10">
        <f>1869*2283.3</f>
        <v>4267487.7</v>
      </c>
      <c r="J9" s="6" t="s">
        <v>7091</v>
      </c>
      <c r="K9" s="7"/>
      <c r="L9" s="8">
        <v>0.41</v>
      </c>
      <c r="M9" s="9"/>
    </row>
    <row r="10" spans="2:13" x14ac:dyDescent="0.3">
      <c r="J10" s="6" t="s">
        <v>7092</v>
      </c>
      <c r="K10" s="7"/>
      <c r="L10" s="8">
        <v>0.39</v>
      </c>
      <c r="M10" s="9"/>
    </row>
  </sheetData>
  <mergeCells count="12">
    <mergeCell ref="J9:K9"/>
    <mergeCell ref="J10:K10"/>
    <mergeCell ref="L6:M6"/>
    <mergeCell ref="L7:M7"/>
    <mergeCell ref="L8:M8"/>
    <mergeCell ref="L9:M9"/>
    <mergeCell ref="L10:M10"/>
    <mergeCell ref="B1:C1"/>
    <mergeCell ref="J4:M4"/>
    <mergeCell ref="J6:K6"/>
    <mergeCell ref="J7:K7"/>
    <mergeCell ref="J8:K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KPI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bandlamudi saranya</dc:creator>
  <cp:lastModifiedBy>bandlamudi saranya</cp:lastModifiedBy>
  <dcterms:created xsi:type="dcterms:W3CDTF">2026-05-15T12:30:34Z</dcterms:created>
  <dcterms:modified xsi:type="dcterms:W3CDTF">2026-05-25T05:07:32Z</dcterms:modified>
</cp:coreProperties>
</file>